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dado\Desktop\CRM_SUMMAX\SUMMAX_CRM\"/>
    </mc:Choice>
  </mc:AlternateContent>
  <xr:revisionPtr revIDLastSave="0" documentId="8_{13850D4B-BBC9-4D36-9F5E-64727AA4C859}" xr6:coauthVersionLast="47" xr6:coauthVersionMax="47" xr10:uidLastSave="{00000000-0000-0000-0000-000000000000}"/>
  <bookViews>
    <workbookView xWindow="-120" yWindow="-120" windowWidth="29040" windowHeight="15720" activeTab="1" xr2:uid="{AEDB7834-0C22-4446-8B84-D579F19AD385}"/>
  </bookViews>
  <sheets>
    <sheet name="Contactos" sheetId="13" r:id="rId1"/>
    <sheet name="Inversores Particulares" sheetId="12" r:id="rId2"/>
    <sheet name="Private Equity España" sheetId="5" r:id="rId3"/>
    <sheet name="Family Office" sheetId="9" r:id="rId4"/>
    <sheet name="Tecnológicos-" sheetId="8" r:id="rId5"/>
    <sheet name="Deuda " sheetId="10" r:id="rId6"/>
    <sheet name="Pre-Seed, Seed " sheetId="11" r:id="rId7"/>
  </sheets>
  <externalReferences>
    <externalReference r:id="rId8"/>
    <externalReference r:id="rId9"/>
    <externalReference r:id="rId10"/>
    <externalReference r:id="rId11"/>
  </externalReferences>
  <definedNames>
    <definedName name="_xlnm._FilterDatabase" localSheetId="2" hidden="1">'Private Equity España'!$B$5:$P$20</definedName>
    <definedName name="_xlnm._FilterDatabase" localSheetId="4" hidden="1">'Tecnológicos-'!$A$4:$O$35</definedName>
    <definedName name="abr">[1]BALANCE!$H$5:$H$321</definedName>
    <definedName name="ago">[1]BALANCE!$L$5:$L$321</definedName>
    <definedName name="agrup_ANA">'[2]BALANCEgtos central21'!$B$5:$B$303</definedName>
    <definedName name="agrup_PGC">[1]BALANCE!$A$5:$A$321</definedName>
    <definedName name="Aumento_alquiler">#REF!</definedName>
    <definedName name="Canon">#REF!</definedName>
    <definedName name="Carencia">#REF!</definedName>
    <definedName name="Comisiones">#REF!</definedName>
    <definedName name="Concesion">#REF!</definedName>
    <definedName name="Coste_Alquiler" localSheetId="1">[3]cordoba!#REF!</definedName>
    <definedName name="Coste_Alquiler">[3]cordoba!#REF!</definedName>
    <definedName name="Coste_Canon_Central" localSheetId="1">[3]cordoba!#REF!</definedName>
    <definedName name="Coste_Canon_Central">[3]cordoba!#REF!</definedName>
    <definedName name="Coste_Personal" localSheetId="1">[3]cordoba!#REF!</definedName>
    <definedName name="Coste_Personal">[3]cordoba!#REF!</definedName>
    <definedName name="dic">[1]BALANCE!$P$5:$P$321</definedName>
    <definedName name="E">#REF!</definedName>
    <definedName name="Ejercicio_plenaocu">#REF!</definedName>
    <definedName name="ene">[1]BALANCE!$E$5:$E$321</definedName>
    <definedName name="Escenario_ocupacion">#REF!</definedName>
    <definedName name="feb">[1]BALANCE!$F$5:$F$321</definedName>
    <definedName name="FX">#REF!</definedName>
    <definedName name="i">#REF!</definedName>
    <definedName name="Inflacion">#REF!</definedName>
    <definedName name="Ingresos" localSheetId="1">[3]cordoba!#REF!</definedName>
    <definedName name="Ingresos">[3]cordoba!#REF!</definedName>
    <definedName name="Inmueble">#REF!</definedName>
    <definedName name="Interes_prestamo">#REF!</definedName>
    <definedName name="Inversion">#REF!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39129.0215277778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j">#REF!</definedName>
    <definedName name="jul">[1]BALANCE!$K$5:$K$321</definedName>
    <definedName name="jun">[1]BALANCE!$J$5:$J$321</definedName>
    <definedName name="keithludeman" localSheetId="2">'Private Equity España'!#REF!</definedName>
    <definedName name="mar">[1]BALANCE!$G$5:$G$321</definedName>
    <definedName name="Margen" localSheetId="1">[3]cordoba!#REF!</definedName>
    <definedName name="Margen">[3]cordoba!#REF!</definedName>
    <definedName name="may">[1]BALANCE!$I$5:$I$321</definedName>
    <definedName name="moneda">#REF!</definedName>
    <definedName name="n">#REF!</definedName>
    <definedName name="nov">[1]BALANCE!$O$5:$O$321</definedName>
    <definedName name="nr">#REF!</definedName>
    <definedName name="oct">[1]BALANCE!$N$5:$N$321</definedName>
    <definedName name="Ocupación" localSheetId="1">[3]cordoba!#REF!</definedName>
    <definedName name="Ocupación">[3]cordoba!#REF!</definedName>
    <definedName name="Otros_Costes" localSheetId="1">[3]cordoba!#REF!</definedName>
    <definedName name="Otros_Costes">[3]cordoba!#REF!</definedName>
    <definedName name="Periodo_concesion">#REF!</definedName>
    <definedName name="Personal">#REF!</definedName>
    <definedName name="Plazas">#REF!</definedName>
    <definedName name="Plazo_prestamo">#REF!</definedName>
    <definedName name="Plazo_varalquiler">#REF!</definedName>
    <definedName name="Plena_ocu">#REF!</definedName>
    <definedName name="_xlnm.Print_Area" localSheetId="3">'Family Office'!$B$1:$F$25</definedName>
    <definedName name="_xlnm.Print_Area" localSheetId="1">'Inversores Particulares'!$C$1:$J$6</definedName>
    <definedName name="_xlnm.Print_Area" localSheetId="2">'Private Equity España'!$B$1:$L$15</definedName>
    <definedName name="_xlnm.Print_Area">#REF!</definedName>
    <definedName name="_xlnm.Print_Titles" localSheetId="3">'Family Office'!$1:$4</definedName>
    <definedName name="_xlnm.Print_Titles" localSheetId="1">'Inversores Particulares'!$1:$1</definedName>
    <definedName name="_xlnm.Print_Titles" localSheetId="2">'Private Equity España'!$1:$5</definedName>
    <definedName name="PVP_Alzheimer">#REF!</definedName>
    <definedName name="PVP_Apart.Doble">#REF!</definedName>
    <definedName name="PVP_Doble">#REF!</definedName>
    <definedName name="PVP_Individual">#REF!</definedName>
    <definedName name="q">#REF!</definedName>
    <definedName name="Ratio_Apartamentos">#REF!</definedName>
    <definedName name="Ratio_financ">#REF!</definedName>
    <definedName name="Ratio_Residencia">#REF!</definedName>
    <definedName name="REMEDIOS">#REF!</definedName>
    <definedName name="Rentabilidad_ventas" localSheetId="1">[3]cordoba!#REF!</definedName>
    <definedName name="Rentabilidad_ventas">[3]cordoba!#REF!</definedName>
    <definedName name="RV_Año1" localSheetId="1">[3]cordoba!#REF!</definedName>
    <definedName name="RV_Año1">[3]cordoba!#REF!</definedName>
    <definedName name="RV_Año10" localSheetId="1">[3]cordoba!#REF!</definedName>
    <definedName name="RV_Año10">[3]cordoba!#REF!</definedName>
    <definedName name="RV_Año11" localSheetId="1">[3]cordoba!#REF!</definedName>
    <definedName name="RV_Año11">[3]cordoba!#REF!</definedName>
    <definedName name="RV_Año12" localSheetId="1">[3]cordoba!#REF!</definedName>
    <definedName name="RV_Año12">[3]cordoba!#REF!</definedName>
    <definedName name="RV_Año13" localSheetId="1">[3]cordoba!#REF!</definedName>
    <definedName name="RV_Año13">[3]cordoba!#REF!</definedName>
    <definedName name="RV_Año14" localSheetId="1">[3]cordoba!#REF!</definedName>
    <definedName name="RV_Año14">[3]cordoba!#REF!</definedName>
    <definedName name="RV_Año16" localSheetId="1">[3]cordoba!#REF!</definedName>
    <definedName name="RV_Año16">[3]cordoba!#REF!</definedName>
    <definedName name="RV_Año17" localSheetId="1">[3]cordoba!#REF!</definedName>
    <definedName name="RV_Año17">[3]cordoba!#REF!</definedName>
    <definedName name="RV_Año18" localSheetId="1">[3]cordoba!#REF!</definedName>
    <definedName name="RV_Año18">[3]cordoba!#REF!</definedName>
    <definedName name="RV_Año19" localSheetId="1">[3]cordoba!#REF!</definedName>
    <definedName name="RV_Año19">[3]cordoba!#REF!</definedName>
    <definedName name="RV_Año2" localSheetId="1">[3]cordoba!#REF!</definedName>
    <definedName name="RV_Año2">[3]cordoba!#REF!</definedName>
    <definedName name="RV_Año20" localSheetId="1">[3]cordoba!#REF!</definedName>
    <definedName name="RV_Año20">[3]cordoba!#REF!</definedName>
    <definedName name="RV_Año3" localSheetId="1">[3]cordoba!#REF!</definedName>
    <definedName name="RV_Año3">[3]cordoba!#REF!</definedName>
    <definedName name="RV_Año4" localSheetId="1">[3]cordoba!#REF!</definedName>
    <definedName name="RV_Año4">[3]cordoba!#REF!</definedName>
    <definedName name="RV_Año5" localSheetId="1">[3]cordoba!#REF!</definedName>
    <definedName name="RV_Año5">[3]cordoba!#REF!</definedName>
    <definedName name="RV_Año6" localSheetId="1">[3]cordoba!#REF!</definedName>
    <definedName name="RV_Año6">[3]cordoba!#REF!</definedName>
    <definedName name="RV_Año7" localSheetId="1">[3]cordoba!#REF!</definedName>
    <definedName name="RV_Año7">[3]cordoba!#REF!</definedName>
    <definedName name="RV_Año8" localSheetId="1">[3]cordoba!#REF!</definedName>
    <definedName name="RV_Año8">[3]cordoba!#REF!</definedName>
    <definedName name="RV_Año9" localSheetId="1">[3]cordoba!#REF!</definedName>
    <definedName name="RV_Año9">[3]cordoba!#REF!</definedName>
    <definedName name="RV_TODOS" localSheetId="1">[3]cordoba!#REF!,[3]cordoba!#REF!,[3]cordoba!$E$51:$E$51</definedName>
    <definedName name="RV_TODOS">[3]cordoba!#REF!,[3]cordoba!#REF!,[3]cordoba!$E$51:$E$51</definedName>
    <definedName name="SegSocial">#REF!</definedName>
    <definedName name="Sens_cost">#REF!</definedName>
    <definedName name="Sens_costpersonal">#REF!</definedName>
    <definedName name="Sens_inver">#REF!</definedName>
    <definedName name="Sens_precio">#REF!</definedName>
    <definedName name="Sens_salario">#REF!</definedName>
    <definedName name="sep">[1]BALANCE!$M$5:$M$321</definedName>
    <definedName name="Tax">#REF!</definedName>
    <definedName name="TIR">'[4]TIR Sanyres Landon'!$B$20</definedName>
    <definedName name="TIR_Conjunta">'[4]TIR conjunta'!$C$20</definedName>
    <definedName name="Total_Costes" localSheetId="1">[3]cordoba!#REF!</definedName>
    <definedName name="Total_Costes">[3]cordoba!#REF!</definedName>
    <definedName name="VA">#N/A</definedName>
    <definedName name="Varalquil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2" l="1"/>
  <c r="B10" i="12"/>
  <c r="B11" i="12"/>
  <c r="B12" i="12"/>
  <c r="B13" i="12"/>
  <c r="B14" i="12"/>
  <c r="B15" i="12"/>
  <c r="B16" i="12"/>
  <c r="B17" i="12"/>
  <c r="B18" i="12"/>
  <c r="B19" i="12"/>
  <c r="B20" i="12"/>
  <c r="B21" i="12"/>
  <c r="B22" i="12"/>
  <c r="B23" i="12"/>
  <c r="B24" i="12"/>
  <c r="B25" i="12"/>
  <c r="B26" i="12"/>
  <c r="B28" i="12"/>
  <c r="B29" i="12"/>
  <c r="B30" i="12"/>
  <c r="B32" i="12"/>
  <c r="B33" i="12"/>
  <c r="B34" i="12"/>
  <c r="B35" i="12"/>
  <c r="B40" i="12"/>
  <c r="B41" i="12"/>
  <c r="B42" i="12"/>
  <c r="B43" i="12"/>
  <c r="B44" i="12"/>
  <c r="B45" i="12"/>
  <c r="B46" i="12"/>
  <c r="B47" i="12"/>
  <c r="B50" i="12"/>
  <c r="B51" i="12"/>
  <c r="B52" i="12"/>
  <c r="B53" i="12"/>
  <c r="B54" i="12"/>
  <c r="B55" i="12"/>
  <c r="B59" i="12"/>
  <c r="B60" i="12"/>
  <c r="B61" i="12"/>
  <c r="B62" i="12"/>
  <c r="B63" i="12"/>
  <c r="B64" i="12"/>
  <c r="B65" i="12"/>
  <c r="B66" i="12"/>
  <c r="B67" i="12"/>
  <c r="B68" i="12"/>
  <c r="B69" i="12"/>
  <c r="B70" i="12"/>
  <c r="B72" i="12"/>
  <c r="B78" i="12"/>
  <c r="B80" i="12"/>
  <c r="B81" i="12"/>
  <c r="B82" i="12"/>
  <c r="B83" i="12"/>
  <c r="B84" i="12"/>
  <c r="B87" i="12"/>
  <c r="B88" i="12"/>
  <c r="B89" i="12"/>
  <c r="B90" i="12"/>
  <c r="B91" i="12"/>
  <c r="B92" i="12"/>
  <c r="B93" i="12"/>
  <c r="B94" i="12"/>
  <c r="B95" i="12"/>
  <c r="B96" i="12"/>
  <c r="B97" i="12"/>
  <c r="B98" i="12"/>
  <c r="B99" i="12"/>
  <c r="B100" i="12"/>
  <c r="B101" i="12"/>
  <c r="B102" i="12"/>
  <c r="B103" i="12"/>
  <c r="B104" i="12"/>
  <c r="B105" i="12"/>
  <c r="B107" i="12"/>
  <c r="B109" i="12"/>
  <c r="B110" i="12"/>
  <c r="B111" i="12"/>
  <c r="B112" i="12"/>
  <c r="B113" i="12"/>
  <c r="B114" i="12"/>
  <c r="B115" i="12"/>
  <c r="B116" i="12"/>
  <c r="B117" i="12"/>
  <c r="B120" i="12"/>
  <c r="B122" i="12"/>
  <c r="B123" i="12"/>
  <c r="B124" i="12"/>
  <c r="B125" i="12"/>
  <c r="B126" i="12"/>
  <c r="B127" i="12"/>
  <c r="B128" i="12"/>
  <c r="B129" i="12"/>
  <c r="B130" i="12"/>
  <c r="B131" i="12"/>
  <c r="B132" i="12"/>
  <c r="B133" i="12"/>
  <c r="B134" i="12"/>
  <c r="B135" i="12"/>
  <c r="B137" i="12"/>
  <c r="B138" i="12"/>
  <c r="B139" i="12"/>
  <c r="B140" i="12"/>
  <c r="B141" i="12"/>
  <c r="B143" i="12"/>
  <c r="B144" i="12"/>
  <c r="B145" i="12"/>
  <c r="B146" i="12"/>
  <c r="B147" i="12"/>
  <c r="B148" i="12"/>
  <c r="B149" i="12"/>
  <c r="B150" i="12"/>
  <c r="B151" i="12"/>
  <c r="B152" i="12"/>
  <c r="B153" i="12"/>
  <c r="B154" i="12"/>
  <c r="B155" i="12"/>
  <c r="B156" i="12"/>
  <c r="B157" i="12"/>
  <c r="B158" i="12"/>
  <c r="B159" i="12"/>
  <c r="B160" i="12"/>
  <c r="B161" i="12"/>
  <c r="B163" i="12"/>
  <c r="B165" i="12"/>
  <c r="B168" i="12"/>
  <c r="B169" i="12"/>
  <c r="B170" i="12"/>
  <c r="B171" i="12"/>
  <c r="B174" i="12"/>
  <c r="B175" i="12"/>
  <c r="B176" i="12"/>
  <c r="B177" i="12"/>
  <c r="B183" i="12"/>
  <c r="B184" i="12"/>
  <c r="B185" i="12"/>
  <c r="B186" i="12"/>
  <c r="B187" i="12"/>
  <c r="B188" i="12"/>
  <c r="B189" i="12"/>
  <c r="B190" i="12"/>
  <c r="B191" i="12"/>
  <c r="B192" i="12"/>
  <c r="B193" i="12"/>
  <c r="B7" i="12"/>
  <c r="E20" i="5"/>
</calcChain>
</file>

<file path=xl/sharedStrings.xml><?xml version="1.0" encoding="utf-8"?>
<sst xmlns="http://schemas.openxmlformats.org/spreadsheetml/2006/main" count="3559" uniqueCount="2460">
  <si>
    <t>PRIVATE EQUITY ESPAÑA</t>
  </si>
  <si>
    <t>Potencial inversor</t>
  </si>
  <si>
    <t>Persona de contacto</t>
  </si>
  <si>
    <t>Otro contacto</t>
  </si>
  <si>
    <t>Teléfono</t>
  </si>
  <si>
    <t>email</t>
  </si>
  <si>
    <t>Dirección</t>
  </si>
  <si>
    <t>Cifras Inversión</t>
  </si>
  <si>
    <t>Estrategia</t>
  </si>
  <si>
    <t>Portfolio</t>
  </si>
  <si>
    <t>Web</t>
  </si>
  <si>
    <t>Encaje SUMMAX</t>
  </si>
  <si>
    <t>Motivo</t>
  </si>
  <si>
    <t>Informacion actualizada</t>
  </si>
  <si>
    <t>3i Group</t>
  </si>
  <si>
    <t>Daniel Viñas</t>
  </si>
  <si>
    <t>IRTeam@3i.com</t>
  </si>
  <si>
    <t>34 91 521 44 19</t>
  </si>
  <si>
    <t xml:space="preserve">daniel.vinas@3i.com </t>
  </si>
  <si>
    <t>C/ Ruiz de Alarcón 12, 2-b, Madrid</t>
  </si>
  <si>
    <t>100M€ – 500M€</t>
  </si>
  <si>
    <t>3i invierte en compañías mid-market con fuerte foco en crecimiento, expansión internacional y eficiencia operativa, especialmente en sectores consumer y servicios, aportando capital y know-how para escalar modelos probados.</t>
  </si>
  <si>
    <t>BasicFit (Gimasios Low-Cost), BoConcept (Diseño de interiores) y Havea (Cosmética francesa)</t>
  </si>
  <si>
    <t>Portfolio | 3i Group</t>
  </si>
  <si>
    <t>SÍ</t>
  </si>
  <si>
    <t>Portfolio con consumer/servicios (Basic-Fit) y marcas. Encaje potencial si SUMMAX demuestra tracción y unit economics.</t>
  </si>
  <si>
    <t>Abac Capital</t>
  </si>
  <si>
    <t>Lluís Molins</t>
  </si>
  <si>
    <t>Julia.marin@abaccapital.com</t>
  </si>
  <si>
    <t>+34 93 545 65 00/+34 91 578 92 57/+34 93 545 65 00</t>
  </si>
  <si>
    <t>enquiries@abaccapital.com</t>
  </si>
  <si>
    <t>Lleó XIII, 24
Barcelona 08022
Alcalá, 96 4º Centro
Madrid 28009
LUDIO CHOELIO 33,2ªA
Luxemburgo</t>
  </si>
  <si>
    <t>2 a 50 MM €</t>
  </si>
  <si>
    <t xml:space="preserve">Consumo Servicios Industria.
Empresas españolas con CF + CN&lt;30M EBITDA&gt; 5 Operaciones de control  Minoritarios derechos de governance y pacto salida </t>
  </si>
  <si>
    <t>Pronokal (Tratamientos dietéticos medicalizados), Avanza Food (Grupo empresarial de Tony Roma´s, Tommy Mel´s, Irish Pub, etc), Grupo Agroponiente (Comercializadora de fruta y verdura fresca).</t>
  </si>
  <si>
    <t>Foco declarado en Consumo/Servicios/Industria y operaciones de control; acepta minoritarios con derechos de governance y pacto de salida. Portfolio incluye marcas/servicios de consumo (p.ej., restauración).</t>
  </si>
  <si>
    <t>Acon Investments</t>
  </si>
  <si>
    <t>Marcos Lladró</t>
  </si>
  <si>
    <t>info@aconinvestments.com / https://www.linkedin.com/company/acon-investments/</t>
  </si>
  <si>
    <t>(202) 454-1100</t>
  </si>
  <si>
    <t>Calle Velázquez, 20, Piso 1º Izq
28001 Madrid / Calle Almagro nº22 piso 5ª</t>
  </si>
  <si>
    <t>25 – 100 M USD por operación</t>
  </si>
  <si>
    <t>Mid market enfocado en España, LATAM y EE.UU.</t>
  </si>
  <si>
    <t>Funko (Diseño de figuras infantiles y NFT), Alsur (Verduras y Hortalizas en conserva), Contenur (Fabricante de contenedores para residuos urbanos sólidos).</t>
  </si>
  <si>
    <t>ACON INVESTMENTS – A diversified international private equity firm with investments in the United States and Latin America</t>
  </si>
  <si>
    <t>Estrategia mid-market con foco España, LATAM y EE.UU.; portfolio con activos consumer/digital (p.ej., Funko + NFT). Sensibilidad a marcas/comunidad y expansión internacional.</t>
  </si>
  <si>
    <t>Advent International</t>
  </si>
  <si>
    <t>Juan Díaz-Laviada
(Managing Director)</t>
  </si>
  <si>
    <t xml:space="preserve">Ramón Arocena. Dtor. Fco. De Bergia. Asociado Javier Monteagudo. Subgerente  </t>
  </si>
  <si>
    <t>91-745-48-60</t>
  </si>
  <si>
    <t>jlaviada@adventinternational.es</t>
  </si>
  <si>
    <t>Serrano 57, 2ª plta.
28006 Madrid</t>
  </si>
  <si>
    <t xml:space="preserve">Consumo Servicios Industria Residuos 
Valor Empresa de 5 - 50 Mill € Participacion Mayoritaria o Minoritaria   </t>
  </si>
  <si>
    <t>Big Panda (Inteligencia Artificial), Orveon (Cosmética), Ebanx (Plataforma de pagos en entornos digitales).</t>
  </si>
  <si>
    <t>Investments - Advent International</t>
  </si>
  <si>
    <t>Estrategia en consumo/servicios/industria/residuos; participaciones mayoritarias o minoritarias. Portfolio incluye activos digitales/fintech (plataforma de pagos) y tecnología (IA), lo que sugiere encaje con plataforma si hay tracción.</t>
  </si>
  <si>
    <t>Clave Mayor</t>
  </si>
  <si>
    <t>(Santiago Lozano) Valladolid@clavemayor.com
(Lola Santesteban Ortiz) santesteban@clavemayor.com</t>
  </si>
  <si>
    <t xml:space="preserve">Jose Javier Armendariz Pte/CEO Alberto Bermejo. ITSI.Dir.Fondos    </t>
  </si>
  <si>
    <t>983 36 33 59. Ruth
948 20 39 60. Pamplona</t>
  </si>
  <si>
    <t xml:space="preserve">C/ La Paz, 
44 – 1º-2ºA 
46003 Valencia </t>
  </si>
  <si>
    <t>0,5 – 5 M€</t>
  </si>
  <si>
    <t xml:space="preserve">Clave Mayor invierte en pequeñas y medianas empresas con potencial de desarrollo, ubicación geográfica europea, que cuenten con equipos gestores comprometidos y que ofrezcan la posibilidad de obtener plusvalías a corto/medio plazo.
.Ticket comprendido entre 0,5 y 5 M€
Growth Early stage (growth) Early stage (seed) Early stage (start-up) Later Stage </t>
  </si>
  <si>
    <t>Heurafoods ("Carne" vegana), Smileat (Papillas y potitos para bebé), Matrigalsa (Procesos de fundición para el sector automoción).</t>
  </si>
  <si>
    <t>www.clavemayor.com</t>
  </si>
  <si>
    <t>Invierte en pymes europeas con potencial; ticket 0,5–5M e incluye growth/early stage. Portfolio con marcas de consumo/comunidad (Heurafoods), lo que puede encajar con fase inicial.</t>
  </si>
  <si>
    <t>Contactos operativos: Santiago Lozano – valladolid@clavemayor.com/Lola Santesteban Ortiz – santesteban@clavemayor.com</t>
  </si>
  <si>
    <t>Ergon Capital</t>
  </si>
  <si>
    <t>Nicola Zambon</t>
  </si>
  <si>
    <t>info@ergoncapital.es/info@ergoncapital.com/info@ergoncapital.es</t>
  </si>
  <si>
    <t>91 700 16 44</t>
  </si>
  <si>
    <t>nz@ergoncapital.es</t>
  </si>
  <si>
    <t>C/ Serrano 41, 4ª planta, 28001 Madrid</t>
  </si>
  <si>
    <t>300 M€</t>
  </si>
  <si>
    <t>Nichos industriales; sanidad; comercio minorista, bienes de consumo y lujo; servicios, medios de comunicación y ocio.
Nos centramos principalmente en empresas de menos de 300 millones de euros de valor empresarial.</t>
  </si>
  <si>
    <t>Palex (Equipamiento biomédico), Dental Services Group (Cadena de servicios dentales en Alemania), Millbio (Productos de panadería sostenibles).</t>
  </si>
  <si>
    <t>Investments - Ergon (ergoncapital.com)</t>
  </si>
  <si>
    <t>Declara nichos incluyendo bienes de consumo, servicios, medios y ocio. Puede encajar con plataforma social-commerce si hay claridad en monetización.</t>
  </si>
  <si>
    <t>Five Arrows- Rothschild</t>
  </si>
  <si>
    <t>Jaime Puig de la Bellacasa
(Presidente Financial Managers)
Younes Zemmouri
(Director Rothschild - FA)</t>
  </si>
  <si>
    <t>https://uk.linkedin.com/in/jaime-puig-de-la-bellacasa-vallejo-4b14931a1</t>
  </si>
  <si>
    <t>91-745-1350
+33 (1) 40 74 47 21</t>
  </si>
  <si>
    <t xml:space="preserve">jaimepuig@fmanagers.com 
younes.zemmouri@Rothschild.com </t>
  </si>
  <si>
    <t>FIVE ARROWS: 23 bis Avenue de Messine 
75008 Paris, France
FINANCIAL MANAGERS: C/ Carbonero y Sol 12, Madrid</t>
  </si>
  <si>
    <t>75 – 500 M USD</t>
  </si>
  <si>
    <t>Low Mid-market. Buscamos empresas valoradas entre 75 y 500 millones de dólares, en las que buscamos desplegar entradas de capital de 30 a 70 millones de dólares por inversión. Además, tenemos la capacidad de comprometer mucho más de 100 millones de dólares en una sola transacción desde el Fondo o en conjunción con la plataforma más amplia de Merchant Banking.
Creemos que los sectores de la sanidad, los datos y el software, y los servicios empresariales basados en la tecnología.</t>
  </si>
  <si>
    <t xml:space="preserve">Juvare (Software de información y almacenamiento de datos), TextHelp (Aplicación enfocada al estudio escolar y universitario enfocado a la optimización del mismo), Zenith American (Enfocada a la cobertura sanitaria de ciudadanos de Florida (USA), así como la preparación de la jubilación. </t>
  </si>
  <si>
    <t>Corporate Private Equity – Merchant Banking – Rothschild &amp; Co (rothschildandco.com)</t>
  </si>
  <si>
    <t>Foco declarado en datos/software y servicios empresariales basados en tecnología; portfolio con software/datos. Encaja si SUMMAX se posiciona como plataforma/infraestructura digital.</t>
  </si>
  <si>
    <t>General Atlantic</t>
  </si>
  <si>
    <t>Gabriel Caliaux</t>
  </si>
  <si>
    <t>+44 (0) 207 484 3205</t>
  </si>
  <si>
    <t>gcaillaux@generalatlantic.com</t>
  </si>
  <si>
    <t>50 – 300 M€</t>
  </si>
  <si>
    <t>Growth Equity/Perfil de compañías objetivo:Plataformas líderes o con liderazgo emergente/Modelos escalables/Fase de inversión:Growth / expansión.Perfil de participación:Minoritaria significativa.Apoyo estratégico (no control)</t>
  </si>
  <si>
    <t>Flixbus, Visma (Software de planificación de recursos) y Gymshark (Ropa deportiva)</t>
  </si>
  <si>
    <t>General Atlantic Portfolio</t>
  </si>
  <si>
    <t>Growth equity con portfolio de plataformas/marcas impulsadas por comunidad (Flixbus, Gymshark, Visma). Encaja conceptualmente como growth si hay tracción significativa.</t>
  </si>
  <si>
    <t>GPF CAPITAL</t>
  </si>
  <si>
    <t xml:space="preserve"> Martin Rguez Fraile. Dtor. Ramón Azpiroz ITSII.Dtor.Ind. Agustin Agudo. ITSII.Dir.Oprc.   </t>
  </si>
  <si>
    <t>info@gpf-capital.com</t>
  </si>
  <si>
    <t>Calle Serrano 111, 28006 Madrid, España/Avenida Velázquez 86D, 28006 Madrid, España.</t>
  </si>
  <si>
    <t>8 a 20 MM€</t>
  </si>
  <si>
    <t xml:space="preserve"> EBITDA&gt; 3 Equipo con experiencia  potencial de crecimiento no necesario apalancamiento visibilidad desinversión, posible salida pactada </t>
  </si>
  <si>
    <t>Gestair (Aviación ejecutiva), Tiendas Aurgi (Talleres de vehículos) y Grupo Pachá (Ocio Nocturno).</t>
  </si>
  <si>
    <t>http://www.gpf-capital.com/</t>
  </si>
  <si>
    <t>SI</t>
  </si>
  <si>
    <r>
      <t xml:space="preserve">GPF Capital invierte en </t>
    </r>
    <r>
      <rPr>
        <b/>
        <sz val="10"/>
        <rFont val="Arial"/>
        <family val="2"/>
      </rPr>
      <t>Private Equity mid-market en España</t>
    </r>
    <r>
      <rPr>
        <sz val="10"/>
        <rFont val="Arial"/>
        <family val="2"/>
      </rPr>
      <t xml:space="preserve">, focalizándose en compañías con </t>
    </r>
    <r>
      <rPr>
        <b/>
        <sz val="10"/>
        <rFont val="Arial"/>
        <family val="2"/>
      </rPr>
      <t>EBITDA superior a 3 M€</t>
    </r>
    <r>
      <rPr>
        <sz val="10"/>
        <rFont val="Arial"/>
        <family val="2"/>
      </rPr>
      <t xml:space="preserve">, </t>
    </r>
    <r>
      <rPr>
        <b/>
        <sz val="10"/>
        <rFont val="Arial"/>
        <family val="2"/>
      </rPr>
      <t>equipos gestores experimentados</t>
    </r>
    <r>
      <rPr>
        <sz val="10"/>
        <rFont val="Arial"/>
        <family val="2"/>
      </rPr>
      <t xml:space="preserve"> y </t>
    </r>
    <r>
      <rPr>
        <b/>
        <sz val="10"/>
        <rFont val="Arial"/>
        <family val="2"/>
      </rPr>
      <t>visibilidad clara de desinversión</t>
    </r>
    <r>
      <rPr>
        <sz val="10"/>
        <rFont val="Arial"/>
        <family val="2"/>
      </rPr>
      <t xml:space="preserve"> a medio plazo. Realiza inversiones de </t>
    </r>
    <r>
      <rPr>
        <b/>
        <sz val="10"/>
        <rFont val="Arial"/>
        <family val="2"/>
      </rPr>
      <t>8 a 20 M€</t>
    </r>
    <r>
      <rPr>
        <sz val="10"/>
        <rFont val="Arial"/>
        <family val="2"/>
      </rPr>
      <t xml:space="preserve">, generalmente en </t>
    </r>
    <r>
      <rPr>
        <b/>
        <sz val="10"/>
        <rFont val="Arial"/>
        <family val="2"/>
      </rPr>
      <t>operaciones de control o minoritarias con salida pactada</t>
    </r>
    <r>
      <rPr>
        <sz val="10"/>
        <rFont val="Arial"/>
        <family val="2"/>
      </rPr>
      <t xml:space="preserve">, sin requerir necesariamente apalancamiento financiero. Su enfoque prioriza negocios con </t>
    </r>
    <r>
      <rPr>
        <b/>
        <sz val="10"/>
        <rFont val="Arial"/>
        <family val="2"/>
      </rPr>
      <t>potencial de crecimiento operativo</t>
    </r>
    <r>
      <rPr>
        <sz val="10"/>
        <rFont val="Arial"/>
        <family val="2"/>
      </rPr>
      <t xml:space="preserve">, generación estable de caja y capacidad de mejora mediante profesionalización, más que estrategias puramente financieras. El portfolio refleja esta orientación hacia </t>
    </r>
    <r>
      <rPr>
        <b/>
        <sz val="10"/>
        <rFont val="Arial"/>
        <family val="2"/>
      </rPr>
      <t>servicios, consumo y ocio</t>
    </r>
    <r>
      <rPr>
        <sz val="10"/>
        <rFont val="Arial"/>
        <family val="2"/>
      </rPr>
      <t xml:space="preserve"> con activos como Gestair, Aurgi o Grupo Pachá, donde la creación de valor se apoya en la optimización del modelo de negocio y la consolidación del liderazgo en su nicho.</t>
    </r>
  </si>
  <si>
    <t>Investcorp</t>
  </si>
  <si>
    <t>Daniel López Cruz</t>
  </si>
  <si>
    <t>44 20 76 29 66 00</t>
  </si>
  <si>
    <t>Europa (equity): 100–200 M€ (EBITDA 10–40 M€)Asia (equity): 20–100 M USD (EV 300 M–2B+ USA</t>
  </si>
  <si>
    <r>
      <t xml:space="preserve">Investcorp invierte en </t>
    </r>
    <r>
      <rPr>
        <b/>
        <sz val="10"/>
        <rFont val="Arial"/>
        <family val="2"/>
      </rPr>
      <t>Private Equity mid-market a escala global</t>
    </r>
    <r>
      <rPr>
        <sz val="10"/>
        <rFont val="Arial"/>
        <family val="2"/>
      </rPr>
      <t xml:space="preserve">, priorizando </t>
    </r>
    <r>
      <rPr>
        <b/>
        <sz val="10"/>
        <rFont val="Arial"/>
        <family val="2"/>
      </rPr>
      <t>participaciones de control o minoritarias significativas</t>
    </r>
    <r>
      <rPr>
        <sz val="10"/>
        <rFont val="Arial"/>
        <family val="2"/>
      </rPr>
      <t xml:space="preserve"> en compañías con </t>
    </r>
    <r>
      <rPr>
        <b/>
        <sz val="10"/>
        <rFont val="Arial"/>
        <family val="2"/>
      </rPr>
      <t>cash flow sólido, posicionamiento líder y potencial de crecimiento</t>
    </r>
    <r>
      <rPr>
        <sz val="10"/>
        <rFont val="Arial"/>
        <family val="2"/>
      </rPr>
      <t xml:space="preserve">. En </t>
    </r>
    <r>
      <rPr>
        <b/>
        <sz val="10"/>
        <rFont val="Arial"/>
        <family val="2"/>
      </rPr>
      <t>Europa</t>
    </r>
    <r>
      <rPr>
        <sz val="10"/>
        <rFont val="Arial"/>
        <family val="2"/>
      </rPr>
      <t xml:space="preserve"> se enfoca en empresas con </t>
    </r>
    <r>
      <rPr>
        <b/>
        <sz val="10"/>
        <rFont val="Arial"/>
        <family val="2"/>
      </rPr>
      <t>EBITDA de 10–40 M€</t>
    </r>
    <r>
      <rPr>
        <sz val="10"/>
        <rFont val="Arial"/>
        <family val="2"/>
      </rPr>
      <t xml:space="preserve">, realizando inversiones de </t>
    </r>
    <r>
      <rPr>
        <b/>
        <sz val="10"/>
        <rFont val="Arial"/>
        <family val="2"/>
      </rPr>
      <t>100–200 M€ de equity</t>
    </r>
    <r>
      <rPr>
        <sz val="10"/>
        <rFont val="Arial"/>
        <family val="2"/>
      </rPr>
      <t xml:space="preserve"> en </t>
    </r>
    <r>
      <rPr>
        <b/>
        <sz val="10"/>
        <rFont val="Arial"/>
        <family val="2"/>
      </rPr>
      <t>servicios especializados habilitados por tecnología</t>
    </r>
    <r>
      <rPr>
        <sz val="10"/>
        <rFont val="Arial"/>
        <family val="2"/>
      </rPr>
      <t xml:space="preserve">; en </t>
    </r>
    <r>
      <rPr>
        <b/>
        <sz val="10"/>
        <rFont val="Arial"/>
        <family val="2"/>
      </rPr>
      <t>Asia</t>
    </r>
    <r>
      <rPr>
        <sz val="10"/>
        <rFont val="Arial"/>
        <family val="2"/>
      </rPr>
      <t xml:space="preserve"> invierte </t>
    </r>
    <r>
      <rPr>
        <b/>
        <sz val="10"/>
        <rFont val="Arial"/>
        <family val="2"/>
      </rPr>
      <t>20–100 M USD</t>
    </r>
    <r>
      <rPr>
        <sz val="10"/>
        <rFont val="Arial"/>
        <family val="2"/>
      </rPr>
      <t xml:space="preserve"> en compañías de </t>
    </r>
    <r>
      <rPr>
        <b/>
        <sz val="10"/>
        <rFont val="Arial"/>
        <family val="2"/>
      </rPr>
      <t>consumo, salud y tecnología</t>
    </r>
    <r>
      <rPr>
        <sz val="10"/>
        <rFont val="Arial"/>
        <family val="2"/>
      </rPr>
      <t xml:space="preserve"> con </t>
    </r>
    <r>
      <rPr>
        <b/>
        <sz val="10"/>
        <rFont val="Arial"/>
        <family val="2"/>
      </rPr>
      <t>EV de 300 M–2 B USD+</t>
    </r>
    <r>
      <rPr>
        <sz val="10"/>
        <rFont val="Arial"/>
        <family val="2"/>
      </rPr>
      <t xml:space="preserve">; y en </t>
    </r>
    <r>
      <rPr>
        <b/>
        <sz val="10"/>
        <rFont val="Arial"/>
        <family val="2"/>
      </rPr>
      <t>Norteamérica</t>
    </r>
    <r>
      <rPr>
        <sz val="10"/>
        <rFont val="Arial"/>
        <family val="2"/>
      </rPr>
      <t xml:space="preserve"> prioriza </t>
    </r>
    <r>
      <rPr>
        <b/>
        <sz val="10"/>
        <rFont val="Arial"/>
        <family val="2"/>
      </rPr>
      <t>business y professional services</t>
    </r>
    <r>
      <rPr>
        <sz val="10"/>
        <rFont val="Arial"/>
        <family val="2"/>
      </rPr>
      <t xml:space="preserve"> mediante buyouts y carve-outs. Su creación de valor combina </t>
    </r>
    <r>
      <rPr>
        <b/>
        <sz val="10"/>
        <rFont val="Arial"/>
        <family val="2"/>
      </rPr>
      <t>escala internacional, profesionalización operativa y crecimiento orgánico</t>
    </r>
    <r>
      <rPr>
        <sz val="10"/>
        <rFont val="Arial"/>
        <family val="2"/>
      </rPr>
      <t xml:space="preserve"> con un enfoque sectorial claro en </t>
    </r>
    <r>
      <rPr>
        <b/>
        <sz val="10"/>
        <rFont val="Arial"/>
        <family val="2"/>
      </rPr>
      <t>B2B, plataformas digitales y consumo especializado</t>
    </r>
    <r>
      <rPr>
        <sz val="10"/>
        <rFont val="Arial"/>
        <family val="2"/>
      </rPr>
      <t>.</t>
    </r>
  </si>
  <si>
    <t>Dainese (Equipamiento motociclistas), Unilog (E-commerce B2B), Heritage Foods (Salsas y condimentos de comida)</t>
  </si>
  <si>
    <t>Portfolio. - Investcorp</t>
  </si>
  <si>
    <t>Portfolio incluye e-commerce B2B (Unilog) y consumer. Encaja si SUMMAX tiene capa B2B (empresas) + canalización de ventas.</t>
  </si>
  <si>
    <t>MIURA PRIVATE EQUITY</t>
  </si>
  <si>
    <t>https://www.linkedin.com/company/miura-private-equity/</t>
  </si>
  <si>
    <t>info@miuraequity.com</t>
  </si>
  <si>
    <t>Barcelona
Madrid</t>
  </si>
  <si>
    <t>15 A 50 MM€</t>
  </si>
  <si>
    <t xml:space="preserve">
 Consolidación sectorial e internacionalización Atractivos nichos de mercado Asociación con equipos de directivos de primer nivel Participaciones de control. </t>
  </si>
  <si>
    <t>Educaedu (Plataforma líder de educación online), Tragaluz (Grupo de restauración de alta gastronomía), Grupo Saona (Grupo de Resauración).</t>
  </si>
  <si>
    <t>http://www.miuraequity.com/</t>
  </si>
  <si>
    <t>Consolidación sectorial e internacionalización; portfolio incluye plataforma de educación online (Educaedu) y consumo (restauración). Encaja como plataforma escalable con plan de consolidación.</t>
  </si>
  <si>
    <t>Nazca</t>
  </si>
  <si>
    <t>Nacho Portela (socio)
Carlos Carbó (Socio)
Celia Pérez Beato (Socia fondo P)</t>
  </si>
  <si>
    <t>https://www.linkedin.com/search/results/people/?keywords=Celia%20P%C3%A9rez%20Beato%20Nazca%20Capital / https://www.linkedin.com/search/results/people/?keywords=Nacho%20Portela%20Nazca%20Capital</t>
  </si>
  <si>
    <t>+34 91 575 27 40</t>
  </si>
  <si>
    <t>info@nazcacapital.com</t>
  </si>
  <si>
    <t>18 a 50 MM€</t>
  </si>
  <si>
    <t>Empresas con ventas entre 10 y 300 MM€, con un management alineado con los intereses de los accionistas, con operaciones de compra de entre 7 y 50 MM€. Período de inversión de entre 3 y 6 años. Sector agnostic.
Crecimiento orgánico, expansion internacional, con un histórico de crecimiento de ventas del 33% y 38% de EBITDA.</t>
  </si>
  <si>
    <t>Filmin (Plataforma de video on demand) y Foodbox (Santagloria, Taberna Volapie y Papizza).</t>
  </si>
  <si>
    <t>Home | Nazca</t>
  </si>
  <si>
    <t>Sector agnostic con compras 7–50M y foco crecimiento; portfolio incluye plataforma VOD (Filmin). Indica apetito por modelos digitales/plataforma.</t>
  </si>
  <si>
    <t>Portobello</t>
  </si>
  <si>
    <t>Juan Luis Ramírez (Socio)</t>
  </si>
  <si>
    <t xml:space="preserve">Joaquin Ariza. Vice. Alvaro Hernandez. Vice. Jorge José de Mello. Vice.  </t>
  </si>
  <si>
    <t>+34 91 319 14 00</t>
  </si>
  <si>
    <t>30-250 MM€</t>
  </si>
  <si>
    <t xml:space="preserve">Empresas líderes de su nicho de mercado, con una ventaja competitiva fuerte y sostenida en el tiempo. Las empresas contarán, además, con un gran potencial de crecimiento, así como fuerte resistencia al ciclo económico. 
Compañias lideres con potencial de crecimiento Ventajas competitivas Equipos directivos de primer nivel Crecimiento orgánico, internacionalizacion,.. </t>
  </si>
  <si>
    <t>EYSA, Gimasios Supera Legálitas</t>
  </si>
  <si>
    <t>Home — Portobello (portobellocapital.es)</t>
  </si>
  <si>
    <t>Busca líderes de nicho con ventaja competitiva y crecimiento; portfolio incluye gimnasios (Supera) y servicios (Legálitas). Puede encajar si SUMMAX se articula como plataforma con recurrencia futura.</t>
  </si>
  <si>
    <t>Juan Luis Ramírez – Socio/ https://www.linkedin.com/search/results/people/?keywords=Juan%20Luis%20Ram%C3%ADrez%20Portobello%20Capital-Joaquín Ariza – Vice President/https://www.linkedin.com/search/results/people/keywords=Joaqu%C3%ADn%20Ariza%20Portobello%20Capital-Álvaro Hernández – Vice-President/https://www.linkedin.com/search/results/people/keywords=%C3%81lvaro%20Hern%C3%A1ndez%20Portobello%20Capital-Jorge José de Mello – Vice President/https://www.linkedin.com/search/results/people/?keywords=Jorge%20Jos%C3%A9%20de%20Mello%20Portobello%20Capital</t>
  </si>
  <si>
    <t>Sherpa Capital</t>
  </si>
  <si>
    <t xml:space="preserve">Eduardo Navarro (Socio principal), Jorge Fernández Miret (Socio fondo growth) y José María Retana (Director). </t>
  </si>
  <si>
    <t xml:space="preserve">Eduardo Navarro. Soc.Fund. ETSII Alfredo Bru. Soc.Fund. ETSII    </t>
  </si>
  <si>
    <t>info@sherpacapital.es</t>
  </si>
  <si>
    <t>C/Serrano 21, 3ª planta
28001 Madrid</t>
  </si>
  <si>
    <t>0 a 30 MM€</t>
  </si>
  <si>
    <t xml:space="preserve">Varios sectores, principalmente industriales.
Fondo de special situations y un fondo de growth. 
Crecimiento potencial Maximizar la posición competitiva 20&lt;CN&lt;300M Oportunidades de consolidación (buy and build) Balances saneados </t>
  </si>
  <si>
    <t xml:space="preserve">Citybike (Micromovilidad, concesión servicio urbano de bicicletas de Helsinki, entre otras), Galloplast (Fabricante de colorantes plásticos), Hedonai (Cadena de depilación láser). </t>
  </si>
  <si>
    <t>https://www.sherpacapital.es/</t>
  </si>
  <si>
    <r>
      <t xml:space="preserve">Encaja porque Sherpa invierte en </t>
    </r>
    <r>
      <rPr>
        <b/>
        <sz val="10"/>
        <rFont val="Arial"/>
        <family val="2"/>
      </rPr>
      <t>plataformas con crecimiento y consolidación (buy &amp; build)</t>
    </r>
    <r>
      <rPr>
        <sz val="10"/>
        <rFont val="Arial"/>
        <family val="2"/>
      </rPr>
      <t xml:space="preserve">, </t>
    </r>
    <r>
      <rPr>
        <b/>
        <sz val="10"/>
        <rFont val="Arial"/>
        <family val="2"/>
      </rPr>
      <t>servicios recurrentes</t>
    </r>
    <r>
      <rPr>
        <sz val="10"/>
        <rFont val="Arial"/>
        <family val="2"/>
      </rPr>
      <t xml:space="preserve"> y </t>
    </r>
    <r>
      <rPr>
        <b/>
        <sz val="10"/>
        <rFont val="Arial"/>
        <family val="2"/>
      </rPr>
      <t>mejora de posición competitiva</t>
    </r>
    <r>
      <rPr>
        <sz val="10"/>
        <rFont val="Arial"/>
        <family val="2"/>
      </rPr>
      <t xml:space="preserve">, lo que permite a SUMMAX </t>
    </r>
    <r>
      <rPr>
        <b/>
        <sz val="10"/>
        <rFont val="Arial"/>
        <family val="2"/>
      </rPr>
      <t>escalar, profesionalizar operaciones y capturar sinergias</t>
    </r>
    <r>
      <rPr>
        <sz val="10"/>
        <rFont val="Arial"/>
        <family val="2"/>
      </rPr>
      <t xml:space="preserve"> sin depender de apalancamiento agresivo.</t>
    </r>
  </si>
  <si>
    <t>Eduardo Navarro – Socio fundador/ https://www.linkedin.com/search/results/people/?keywords=Eduardo%20Navarro%20Sherpa%20Capital/Jorge Fernández Miret – Socio Growth/ https://www.linkedin.com/search/results/people/?keywords=Jorge%20Fern%C3%A1ndez%20Miret%20Sherpa%20Capital/José María Retana – Director https://www.linkedin.com/search/results/people/?keywords=Jos%C3%A9%20Mar%C3%ADa%20Retana%20Sherpa%20Capital/Alfredo Bru – Socio fundador/ https://www.linkedin.com/search/results/people/?keywords=Alfredo%20Bru%20Sherpa%20Capital</t>
  </si>
  <si>
    <t>TA Associates</t>
  </si>
  <si>
    <t>Patrick Sader
(Senior VP)</t>
  </si>
  <si>
    <t>2nd Floor 25 Knightsbridge London SW1X 7RZ United Kingdom</t>
  </si>
  <si>
    <t>psader@ta.com</t>
  </si>
  <si>
    <t xml:space="preserve">2nd Floor
25 Knightsbridge
London SW1X 7RZ
United Kingdom </t>
  </si>
  <si>
    <t>50 – 500 M€</t>
  </si>
  <si>
    <r>
      <t>TA Associates</t>
    </r>
    <r>
      <rPr>
        <sz val="10"/>
        <rFont val="Arial"/>
        <family val="2"/>
      </rPr>
      <t xml:space="preserve"> invierte en </t>
    </r>
    <r>
      <rPr>
        <b/>
        <sz val="10"/>
        <rFont val="Arial"/>
        <family val="2"/>
      </rPr>
      <t>empresas líderes de tecnología, software y servicios digitales</t>
    </r>
    <r>
      <rPr>
        <sz val="10"/>
        <rFont val="Arial"/>
        <family val="2"/>
      </rPr>
      <t xml:space="preserve"> en </t>
    </r>
    <r>
      <rPr>
        <b/>
        <sz val="10"/>
        <rFont val="Arial"/>
        <family val="2"/>
      </rPr>
      <t>fase de crecimiento</t>
    </r>
    <r>
      <rPr>
        <sz val="10"/>
        <rFont val="Arial"/>
        <family val="2"/>
      </rPr>
      <t xml:space="preserve">, con </t>
    </r>
    <r>
      <rPr>
        <b/>
        <sz val="10"/>
        <rFont val="Arial"/>
        <family val="2"/>
      </rPr>
      <t>modelos de negocio escalables</t>
    </r>
    <r>
      <rPr>
        <sz val="10"/>
        <rFont val="Arial"/>
        <family val="2"/>
      </rPr>
      <t xml:space="preserve">, </t>
    </r>
    <r>
      <rPr>
        <b/>
        <sz val="10"/>
        <rFont val="Arial"/>
        <family val="2"/>
      </rPr>
      <t>ingresos recurrentes</t>
    </r>
    <r>
      <rPr>
        <sz val="10"/>
        <rFont val="Arial"/>
        <family val="2"/>
      </rPr>
      <t xml:space="preserve"> y </t>
    </r>
    <r>
      <rPr>
        <b/>
        <sz val="10"/>
        <rFont val="Arial"/>
        <family val="2"/>
      </rPr>
      <t>trayectoria probada de expansión internacional</t>
    </r>
    <r>
      <rPr>
        <sz val="10"/>
        <rFont val="Arial"/>
        <family val="2"/>
      </rPr>
      <t xml:space="preserve">. Su enfoque es </t>
    </r>
    <r>
      <rPr>
        <b/>
        <sz val="10"/>
        <rFont val="Arial"/>
        <family val="2"/>
      </rPr>
      <t>growth equity</t>
    </r>
    <r>
      <rPr>
        <sz val="10"/>
        <rFont val="Arial"/>
        <family val="2"/>
      </rPr>
      <t>, apoyando a equipos directivos para acelerar crecimiento orgánico, expansión geográfica y consolidación, sin necesidad de control operativo temprano.</t>
    </r>
  </si>
  <si>
    <t>Jupiter Fund, AVG Antivirus, eDreams</t>
  </si>
  <si>
    <t>TA Associates | A Leading, Global Growth Private Equity Firm</t>
  </si>
  <si>
    <t>Growth tech; portfolio incluye eDreams. Encaja si SUMMAX alcanza métricas de escala propias de growth equity.</t>
  </si>
  <si>
    <t>https://www.linkedin.com/search/results/people/?keywords=Patrick%20Sader%20TA%20Associates</t>
  </si>
  <si>
    <t>NOMBRE FONDO</t>
  </si>
  <si>
    <t>ESTRATEGIA</t>
  </si>
  <si>
    <t>PORTFOLIO</t>
  </si>
  <si>
    <t>SECTOR</t>
  </si>
  <si>
    <t>TAMAÑO OPERACIÓN</t>
  </si>
  <si>
    <t>MERCADOS
AREA GEOGRÁFICA</t>
  </si>
  <si>
    <t>SEDE</t>
  </si>
  <si>
    <t>DIRECCION</t>
  </si>
  <si>
    <t>PAGINA WEB</t>
  </si>
  <si>
    <t>CONTACTOS- EMAIL</t>
  </si>
  <si>
    <t>TELEFONO</t>
  </si>
  <si>
    <t>ENCAJE SUMMAX</t>
  </si>
  <si>
    <t>EXPLICATIVO DEL MOTIVO</t>
  </si>
  <si>
    <t>Active Venture Partners</t>
  </si>
  <si>
    <t>Venture Capital que invierten en empresas tecnología relacionada con los negocios. Ademas de aportar fondos, dan servicio con sus contactos externos, apoyo estrategico y feedback en cuanto a planes de desarrollo.</t>
  </si>
  <si>
    <t>Fishbrain (Red social para pescadores), Barnebys (Plataforma para subastas en la venta de viviendas), Vinus &amp; Brindis (Cadena española de tiendas especializadas en vino, licores y cavas).</t>
  </si>
  <si>
    <t>Tecnologicas 
Consumer Internet</t>
  </si>
  <si>
    <t>España, Alemania, Suiza, Austria y Escandinavia</t>
  </si>
  <si>
    <t>Barcelona</t>
  </si>
  <si>
    <t>Paseo de Gracia 35, ático
08007 Barcelona Spain</t>
  </si>
  <si>
    <t>www.active-vp.com</t>
  </si>
  <si>
    <t>(Phillip Schroeder) schroeder@active-vp.com 
(Blair Maclaren) maclaren@active-vp.com</t>
  </si>
  <si>
    <t>93 178 68 68 
Mov Schroeder: 49 177 515 1545</t>
  </si>
  <si>
    <t>La estrategia/sector y/o ejemplos de portfolio apuntan a inversión en tecnología y plataformas digitales escalables.</t>
  </si>
  <si>
    <t>ADARA</t>
  </si>
  <si>
    <t>Venture capital que invierte principalmente en compañías B2B. Participan en una compañía B2B que se llama Open Bravo</t>
  </si>
  <si>
    <t>Iomed (Machine learning para investigación clínica), Freeverse (Infraestructura para el universo NFT), Playgiga (Infraestructura para nube de videojuegos).</t>
  </si>
  <si>
    <t>Internet</t>
  </si>
  <si>
    <t>Madrid</t>
  </si>
  <si>
    <t>Jose Abascal 58</t>
  </si>
  <si>
    <t>www.adaravp.com</t>
  </si>
  <si>
    <t>Alberto Gomez</t>
  </si>
  <si>
    <t>ADVENT VENTURE PARTNERS</t>
  </si>
  <si>
    <t>Venture capital, growth capital, technology, digital media, ecommerce, internet, mobile, software, cleantech, consume.</t>
  </si>
  <si>
    <t>Agenus (Desarrollo conjunto con la farmacéutica Merck de vacunas para prevenir determinados tipos de cáncer), Thiakis (Hormona para el tratamiento de la obesidad), Ventus Medical (Productos innovadores para dejar de fumar).</t>
  </si>
  <si>
    <t>Life sciences
Tecnologia</t>
  </si>
  <si>
    <t>Europa</t>
  </si>
  <si>
    <t>Londres</t>
  </si>
  <si>
    <t>25 Buckingham Gate London, W2 6DA 
Reino Unido</t>
  </si>
  <si>
    <t>www.adventventures.com</t>
  </si>
  <si>
    <t>Fiona MacLughlin. samantha.curran@adventventures.com</t>
  </si>
  <si>
    <t xml:space="preserve"> +44 20 7932 2100</t>
  </si>
  <si>
    <t>ARDIAN</t>
  </si>
  <si>
    <t xml:space="preserve">Private Equity de la aseguradora Axa. Toman participaciones minoritarias de empresas con beneficios y que cominezan a crecer. </t>
  </si>
  <si>
    <t>Logalty (Autentiicación de firmas digitales), ASR Wind (Campo de energía eólica de 420 MW), Grupo Palacios (Alimentación).</t>
  </si>
  <si>
    <t>Cualquier sector</t>
  </si>
  <si>
    <t>Paris</t>
  </si>
  <si>
    <t>20, Place Vendôme 75001 Paris</t>
  </si>
  <si>
    <t>www.ardian-investment.com</t>
  </si>
  <si>
    <t>Dominique Gaillard, Managing Partner, Head of Direct Funds
tace.riche@ardian-investment.com
(Contacto de Londres). samantha.jarrett@ardian-investment.com</t>
  </si>
  <si>
    <t>00 33 1 41 71 92 00</t>
  </si>
  <si>
    <t>NO</t>
  </si>
  <si>
    <t>AXIS Participaciones empresariales</t>
  </si>
  <si>
    <t>Fondo de Capital Riesgo del ICO, cuyo objetivo es la creacion de FCR de gestion privada, para que inviertan en empresas. En primeros estadios, la compañía objetivo dispondría de un claro proyecto innovador, gran potencial de crecimiento y se realizaría siempre en régimen de coinversión liderada por un inversor especialista que, además de aportar un volumen de recursos significativo en relación con el importe total de la operación, valide la tecnología del proyecto.</t>
  </si>
  <si>
    <t>GEM Imaging Oncovision, Avanza (Extrernalización de servicios corporativos), Satlantis (Uso de constelaciones de microstélites con fines comerciales).</t>
  </si>
  <si>
    <t>Calle de los Madrazo, 36
28014 Madrid</t>
  </si>
  <si>
    <t>http://www.axispart.com/</t>
  </si>
  <si>
    <t>FOND-ICOpyme: axis@axispart.com</t>
  </si>
  <si>
    <t>91 523 16 54 / 37</t>
  </si>
  <si>
    <t>AXON</t>
  </si>
  <si>
    <t>Fondo inversor en Just Eat. Interesados en compañías en etapa semilla y despegue hasta incluso expansión internacional. Su expertise está en el sector tecnológico. Hacen crecer a la empresa, la hacen despegar internacionalmente y algunos casos hasta fase de IPO´s.</t>
  </si>
  <si>
    <t>Le Pain Quotidienne, Cañas y Tapas, Finizens (Plataforma de inversión, ppalmente indexados).</t>
  </si>
  <si>
    <t>Sector tecnológico</t>
  </si>
  <si>
    <t>España, LATAM e India</t>
  </si>
  <si>
    <t>Madrid, Bogota, Miami, Sevilla</t>
  </si>
  <si>
    <t>José Ortega y Gasset, 25
28006, Madrid</t>
  </si>
  <si>
    <t>www.axonpartnersgroup.com</t>
  </si>
  <si>
    <t>(Francisco Velazquez de Cuellar) francisco.velazquez@axonpartnersgroup.com
(Carlos Rodriguez-Maribona) carlos.rodriguez@axonpartnersgroup.com</t>
  </si>
  <si>
    <t>91 310 2894
670 6376 52
671 54 82 01</t>
  </si>
  <si>
    <t>BARING PRIVATE EQUITY PARTNERS ESPAÑA</t>
  </si>
  <si>
    <t xml:space="preserve">SGR que proporciona capital a empresas en primeras etapas, desde una vision de creacion de valor o expansion. Buscan compañias con equipos competitivos y capaces de llevar a cabo ambiciosos BP. </t>
  </si>
  <si>
    <t>Grupotec Servicios Avanzados (Turnkey projects de plantas fotovoltaicas), Adelte Group (Plataformas de embarque a aviones), Grupo Navec Servicios Industriales (Mantenimiento de instalaciones industriales).</t>
  </si>
  <si>
    <t>España</t>
  </si>
  <si>
    <t>Mdrid</t>
  </si>
  <si>
    <t xml:space="preserve"> C/ Hermosilla, 11 - 5ª Planta
28001 - Madrid</t>
  </si>
  <si>
    <t>www.bpep.es</t>
  </si>
  <si>
    <t xml:space="preserve"> bpepmadrid@bpep.es</t>
  </si>
  <si>
    <t>91 781 88 70</t>
  </si>
  <si>
    <t>BLUMBERG CAPITAL</t>
  </si>
  <si>
    <t>Venture Capital. Digital y Social Media y Consumer Internet</t>
  </si>
  <si>
    <t>EasyKnock (Plataforma para pedir préstamos de liquidez con la vivienda como colateral), Biocatch (Aplicación que detecta patrones conductuales de navegación para autentificar la identidad del usuario), EarnUp (Plataforma de crowdlending)</t>
  </si>
  <si>
    <t>Compañias tecnologicas</t>
  </si>
  <si>
    <t>USA e Israel</t>
  </si>
  <si>
    <t>California</t>
  </si>
  <si>
    <t>Blumberg Capital
580 Howard Street, Suite 101
San Francisco, CA, 94105</t>
  </si>
  <si>
    <t>www.blumbergcapital.com</t>
  </si>
  <si>
    <t>(David J. Blumberg) david@blumbergcapital.com y (Alon Lifshitz) alon@blumbergcapital.com</t>
  </si>
  <si>
    <t>1 415-357-5027</t>
  </si>
  <si>
    <t>BOSCH INVENTED FOR LIFE</t>
  </si>
  <si>
    <t>Venture Capital de Bosch interesada en tecnologia. Invierte en primeras y segundas rondas, de empresas con alta capacidad para crecer y posicionarse</t>
  </si>
  <si>
    <t>Aclima (Plataforma para medir la calidad del aire), MegaRobo (Desarrollo de robots autónomos), Sensoro (Internet of things).</t>
  </si>
  <si>
    <t xml:space="preserve">Tecnologia
Energia y medioambiente
Healthcare
</t>
  </si>
  <si>
    <t>Barckhausstrasse 10
60325 Frankfurt am Main</t>
  </si>
  <si>
    <t>https://www.rbvc.com/</t>
  </si>
  <si>
    <t xml:space="preserve">Baha Berse, Manager Finance &amp; Controlling
Jan Westerhues, Investment Partner
</t>
  </si>
  <si>
    <t>Laxmi Eagala
Phone: 0049 7191609-15</t>
  </si>
  <si>
    <t>BULLET CAPITAL</t>
  </si>
  <si>
    <t>Venture Capital que invierte en empresas "Early Stage" con tecnologia unica y disruptiva en sistemas de la informacion aplicado a telecomunicacion, healthcare etc. Apoyo especial al comité de direccion. Ademas de aportar capital, enseñan a los directivos a mejorar la compañia, hacerla competitiva, posicionarla en el mercado etc.</t>
  </si>
  <si>
    <t>Anyverse (Tecnología NFTs), Fyla (Lásers de fibra para aplicaciones industriales), KDPOF (Comunicación y transmisión a través de fibra óptica de plástico).</t>
  </si>
  <si>
    <t>Tecnologia
Healthcare
Telecomunicacion</t>
  </si>
  <si>
    <t>España (especial) 
Europa</t>
  </si>
  <si>
    <t>Paseo del Club Deportivo, 1 Edificio 3
Pozuelo de Alarcón - 28223</t>
  </si>
  <si>
    <t>www.grupobullnet.com</t>
  </si>
  <si>
    <t>Javier Ulecia - julecia@grupobullnet.com
Miguel del Cañizo - mcanizo@grupobullnet.com
José Luis Gomez - jlgomez@grupobullnet.com</t>
  </si>
  <si>
    <t>91 799 72 06</t>
  </si>
  <si>
    <t>CABIEDES</t>
  </si>
  <si>
    <t xml:space="preserve">Inversión en Start-ups con alto potencial de crecimiento. Alta dependencia del know-how en entornos de emprendimiento de los hermanos Cabiedes. </t>
  </si>
  <si>
    <t>Hamelyn (Venta de libros usados), Indexa Capital, Next Station (Red para econtrar trabajos de forma internacional).</t>
  </si>
  <si>
    <t>CREATHOR VENTURE</t>
  </si>
  <si>
    <t>Compañias capital semilla o entrando en beneficio. Dan soporte en estas etapas de desarrollo, expansión e incluso ultima fase IPO´s. Dan opoyo tambien en procesos de internacionalizacion.</t>
  </si>
  <si>
    <t>HeyJobs (Plataforma número 1 de empleos no académicos en Alemania), Blueprints Genetics (Plataforma para conectar pacientes de enfermedades raras con médicos especializados en la investigación de las mismas a través de ADN), Allthings (Cinecta a arrendadores e inquilinos durante la vida útil del contrato de alquiler).</t>
  </si>
  <si>
    <t>Software 
Biotech  
Cleantech</t>
  </si>
  <si>
    <t>Hamburgo</t>
  </si>
  <si>
    <t>Marienbader Platz 1
61348 Bad Homburg</t>
  </si>
  <si>
    <t>www.creathor.de</t>
  </si>
  <si>
    <t>(Cedric Koehler) cedric.koehler@creathor.de
(Georg Homolatsch) georg.homolatsch@creathor.ch</t>
  </si>
  <si>
    <t>49 6172 13 97 20
41 78 665 13 11 (movil Georg)</t>
  </si>
  <si>
    <t>DEMETER PARTNERS</t>
  </si>
  <si>
    <t xml:space="preserve">Venture Capital que toma participaciones en las empresas en sectores de eco-industria  y eco-energia. </t>
  </si>
  <si>
    <t>Eifficentre (Ejecución contratos de eficiencia energética), Easycharge Vienna (Puntos de recarga de vehículos propulsados con electricidad en la ciudad de Viena, concesión), Foodvision (Aplicación de coaching nutricional).</t>
  </si>
  <si>
    <t>Cleantech
Medioambiente 
Energia</t>
  </si>
  <si>
    <t>Europa
Francia</t>
  </si>
  <si>
    <t>José Abascal 52 2izda
28003 Madrid</t>
  </si>
  <si>
    <t>www.demeter-partners.com</t>
  </si>
  <si>
    <t xml:space="preserve"> Jon Estornes. Jon.estornes@demeter-partners.com</t>
  </si>
  <si>
    <t>91 563 97 04</t>
  </si>
  <si>
    <t>DIGITAL</t>
  </si>
  <si>
    <t>Participaciones minoritarias de compañías (Entre el 5% y el 25%). Internet y Teconología.</t>
  </si>
  <si>
    <t>Petuky (Cuidado de mascotas, propietario de Whiskas), Oportunista (Portal de descuentos), Baquia (Periódico online). Los fundadores estuvieron invertidos en Tuenti.</t>
  </si>
  <si>
    <t>Teconología</t>
  </si>
  <si>
    <t>EE.UU, Europa, China y LATAM</t>
  </si>
  <si>
    <t>C/ Jenner nº 6 - 1º 28010, Madrid (España)</t>
  </si>
  <si>
    <t>https://dad.es/</t>
  </si>
  <si>
    <t xml:space="preserve">Baldomero Falcones
</t>
  </si>
  <si>
    <t>DOUGHTY HANSON &amp; CO</t>
  </si>
  <si>
    <t>Venture Capital que invierte en etapas temprana. Con equipos directivos altamente profesionales y empresas lideres de su sector.</t>
  </si>
  <si>
    <t>Web privada para inversores</t>
  </si>
  <si>
    <t>Cleantech
Mobile technology
Internet software</t>
  </si>
  <si>
    <t>C/Serrano, 26
28001 Madrid</t>
  </si>
  <si>
    <t>www.doughtyhanson.com</t>
  </si>
  <si>
    <t>Hay 3 personas de investors relations. En Madrid no sabemos</t>
  </si>
  <si>
    <t>91 436 4420</t>
  </si>
  <si>
    <t>ECAPITAL ENTERPRENEURIAL PARTNERS AG</t>
  </si>
  <si>
    <t xml:space="preserve">Venture Capital que invierte en empresas para hacerlas crecer y hacerlas lideres en el mercado. </t>
  </si>
  <si>
    <t>Evodos (Centrifugado para la división de materiales), Videantis (Software de imagen para el diseño de materiales industriales), Perora (Desarrollo de alimentos para la diabetes tipo 2).</t>
  </si>
  <si>
    <t>Cleantech
Digital Information
Life Sciences
Otros</t>
  </si>
  <si>
    <t>Munster</t>
  </si>
  <si>
    <t>Hafenweg 24
48155 Münster</t>
  </si>
  <si>
    <t>www.ecapital.de/en</t>
  </si>
  <si>
    <t xml:space="preserve">(Bettina Schäfer) info@ecapital.de
</t>
  </si>
  <si>
    <t>0049 251 703767-0</t>
  </si>
  <si>
    <t>EVP CAPITAL</t>
  </si>
  <si>
    <t xml:space="preserve">Private Equity, enfocada en empresas con potencial para ser lideres del mercado y del sector, con claras ventajas competitivas. Con un equipo gestor cualificado capaz de desarrollar y llevar a cabo el BP. </t>
  </si>
  <si>
    <t>Keller Group (Plataforma de deporte online), Freaks 4U Gamin (Agencia especializada en videojuegos y e-sports), TTTech Group (Plataforma de networking y seguridad de redes).</t>
  </si>
  <si>
    <t>Tecnologia</t>
  </si>
  <si>
    <t>Frankfurt</t>
  </si>
  <si>
    <t>Bock Landstraße 51-53 
D-60325 Frankfurt / Main</t>
  </si>
  <si>
    <t>www.evp-capital.com</t>
  </si>
  <si>
    <t>info@evp-capital.com</t>
  </si>
  <si>
    <t>0049 69 - 4032597-0</t>
  </si>
  <si>
    <t>GIZA VENTURE CAPITAL</t>
  </si>
  <si>
    <t xml:space="preserve">Venture capital focalizada en etapas Seed y Growth </t>
  </si>
  <si>
    <t>Unnax (Monedero digital), Sales Layer (Customer experience),  Trappit (Optimizador de gastos en billetes de avión).</t>
  </si>
  <si>
    <t>Comunicación
Tecnologia
Life Sciences
Cleantech</t>
  </si>
  <si>
    <t>Tel Aviv</t>
  </si>
  <si>
    <t xml:space="preserve">Ramat Aviv Tower
40 Einstein St., 12th floor
P.O. Box 17672
Tel Aviv 61175 Israel
</t>
  </si>
  <si>
    <t>www.gizavc.com</t>
  </si>
  <si>
    <t>Lior Brauner Spivak (liorb@gizavc.com). Lleva las areas de IT, Cleantech, Healthcare</t>
  </si>
  <si>
    <t xml:space="preserve">00 972 3 640 2323      </t>
  </si>
  <si>
    <t>HOLLAND PRIVATE EQUITY</t>
  </si>
  <si>
    <t>Invierte en pequeñas y medianas empresas de tecnologia, en su primera etapa de crecimiento a cambio de una pequeña participacion.</t>
  </si>
  <si>
    <t>Xempus (Aplicación para la gestión de seguros de vida y pensiones), Tiqets (Aplicación para sacar tickets de forma online para atracciones turísticas), Zava (Doctor online).</t>
  </si>
  <si>
    <t>Empresas tecnologicas (healthcare, medioambiente, nanotecnologia, software)</t>
  </si>
  <si>
    <t>Alemania
Benelux</t>
  </si>
  <si>
    <t>Amsterdam</t>
  </si>
  <si>
    <t>Gustav Mahlerplein 3
1082 MS Amsterdam</t>
  </si>
  <si>
    <t>www.hpegrowthcapital.com</t>
  </si>
  <si>
    <t>(Kyan Yung) kyung@hpegrowthcapital.com</t>
  </si>
  <si>
    <t>0031 20 7143400</t>
  </si>
  <si>
    <t>HPE GROWTH</t>
  </si>
  <si>
    <t>Alemania y Benelux</t>
  </si>
  <si>
    <t>https://hpegrowth.com/</t>
  </si>
  <si>
    <t>INTEL CAPITAL</t>
  </si>
  <si>
    <t>Venture Capital, que invierte en start-ups con tecnologia innovadora en areas de tecnologia, hardware, software.</t>
  </si>
  <si>
    <t>Cloudify (Aplicación para mantener en la nube información, softwares y tecnologías), Healx (Inteligencia artificial para enfermedades raras), Alteia (Convertir imágenes en información para un negocio).</t>
  </si>
  <si>
    <t>Tecnologia 
Hardware 
Software
Servicios 
Consumer internet</t>
  </si>
  <si>
    <t>Global</t>
  </si>
  <si>
    <t>2200 Mission College BoulevardSanta Clara
CA 95054 Estados Unidos</t>
  </si>
  <si>
    <t>https://www.intelcapital.com/</t>
  </si>
  <si>
    <t>No figura</t>
  </si>
  <si>
    <t>INVEREADY</t>
  </si>
  <si>
    <t>Invierten en empresas para que desarrollen sus ideas y crezcan en sus primera etapas.</t>
  </si>
  <si>
    <t>PetCare (Cuidado de mascotas), eMagister (plataforma que conecta a universidades y potenciales estudiantes de las mismas), Selfpackaging (Website para diseñar tu propio empaquetado para realizar envios adaptado a la morfología de cada paquete).</t>
  </si>
  <si>
    <t>Tecnologia y que tengan modelos de negocio interesantes</t>
  </si>
  <si>
    <t>C/ Dels Cavallers 50</t>
  </si>
  <si>
    <t>www.inveready.com</t>
  </si>
  <si>
    <t xml:space="preserve">Pedro Trucharte - Alberto Henere (Analista)
Carlos Conti es el contacto en Inveready </t>
  </si>
  <si>
    <t>93 180 72 60</t>
  </si>
  <si>
    <t>K-FUND</t>
  </si>
  <si>
    <t>Empresas tecnológicas, principalmente aplicaciones, tanto B2B tomo B2C en seed stage. Foco principal en el sur de europa y latinoamérica.Ticket de entre 100.000€ y 5 MM€.</t>
  </si>
  <si>
    <t>Goin (Aplicación para facilitar el ahorro personal), Urbanitae (Crowdfunding inmobiliario), Coverfy (Broker de seguros online),</t>
  </si>
  <si>
    <t>Sur de Europa y LATAM</t>
  </si>
  <si>
    <t>Calle Rafael Calvo 40,1-2, 28010 Madrid</t>
  </si>
  <si>
    <t>K Fund — Desde el sur de Europa hacia el mundo</t>
  </si>
  <si>
    <t>Pablo Ventura</t>
  </si>
  <si>
    <t>NAJETI</t>
  </si>
  <si>
    <t>Capital Riesgo que gestiona su propio fondo lo que permite desarrollar una estrategia de inversión independiente a largo plazo. De la misma manera, esta independencia le permite distribuir el fondo según el potencial del mercado y los requerimientos concretos para el seguimiento de cada inversión</t>
  </si>
  <si>
    <t>Biotecnologia
TMT/Seguridad
Servicios</t>
  </si>
  <si>
    <t>C/ Azalea, 1 Edificio A, Planta Baja
Parque Empresarial Miniparc I
Urbanización El Soto – La Moraleja
28109 Alcobendas</t>
  </si>
  <si>
    <t>www.spain.najeti.com</t>
  </si>
  <si>
    <t>contact.spain@najeti.com</t>
  </si>
  <si>
    <t>91 781 49 60</t>
  </si>
  <si>
    <t>NAUTA CAPITAL</t>
  </si>
  <si>
    <t>Venture Capital que participa en Privalia. Especializada en compañias tecnologicas en primeras etapas de crecimiento, con modelos de negocio rompedores y escalables. Buscan empresas que quieran expandirse internacionalmente en otros mercados.</t>
  </si>
  <si>
    <t>Airfocus (Soluciones de software para gestión de proyectos), Lodgify (App para conectar más facilmente a inquilinos y arrendadores en webs de reserva de apartamentos), Zephr (Aplicación dedicada a la implementación de modelos de negocio basados en suscripciones, como por ejemplo periódicos).</t>
  </si>
  <si>
    <t>Tecnologico</t>
  </si>
  <si>
    <t>Cualquiera</t>
  </si>
  <si>
    <t>Barcelona, Londres, Boston</t>
  </si>
  <si>
    <t>Avda. Diagonal, 593 7th floor
08014 Barcelona</t>
  </si>
  <si>
    <t>www.nautacapital.com</t>
  </si>
  <si>
    <t>(Carles Ferrer Roqueta) carles.ferrer@nautacapital.com
info@nautacapital.com</t>
  </si>
  <si>
    <t> 93 503 5900</t>
  </si>
  <si>
    <t>OMNES CAPITAL</t>
  </si>
  <si>
    <t xml:space="preserve">Empresa lider en growth capital, y buyouts. Interesado tambien en Venture Capital. Realiza aportaciones de mayoria o minoria en empresas situadas en Francia. Tienen otros tipos de fondos como pueden ser deuda Mezzanine o fondos de fondos. </t>
  </si>
  <si>
    <t>TKE Elevators, Blablacar, Corteria Pharmaceuticals (Desarrollo de terapias para eliminar la insuficiencia cardíaca).</t>
  </si>
  <si>
    <t>Tecnologico, Internet, Cleantech etc…
Depende del fondo</t>
  </si>
  <si>
    <t>Francia</t>
  </si>
  <si>
    <t>Paris
Lyon
Israel</t>
  </si>
  <si>
    <t>37 - 41 rue du Rocher
75008
Paris</t>
  </si>
  <si>
    <t>www.omnescapital.com</t>
  </si>
  <si>
    <t>(Michel Delemdes) michel.delempdes@omnescapital.com</t>
  </si>
  <si>
    <t>33 (0)1 80 48 79 00</t>
  </si>
  <si>
    <t>REFIT</t>
  </si>
  <si>
    <t>Fondo que invierte en la mayoria de las etapas. Desde "seed" a growth o incluso MBO-MBI. Buscan empresas con alto potencial de crecimiento en un 80% empresas tecnologicas. Dan libertas al equipo gestor y trabajan con el.</t>
  </si>
  <si>
    <t>Solvatio (Resolucion de porblemas de IT), Safectory (Detección de personas en espacios físicos, videocámaras), Multimmune GmbH (Desarrollo de inmunoterapias).</t>
  </si>
  <si>
    <t>Regengsburg</t>
  </si>
  <si>
    <t>Sedan Straße 15 
93055 Regensburg</t>
  </si>
  <si>
    <t>www.s-refit.de</t>
  </si>
  <si>
    <t>Chairman of the Board: Walter Paulus Rohmer 
Board: Dr. Johann Semmelmayer
info@s-refit.de</t>
  </si>
  <si>
    <t xml:space="preserve"> 0049 9 416 95 560</t>
  </si>
  <si>
    <t>TALIS CAPITAL</t>
  </si>
  <si>
    <t>Es un Multi Family Office que ofrece servicios directos de inversion y Private Equity. Tienen enfoque especial en agricultura y recursos naturales. Buscan equipos emprendedores para hacerlos crecer, desarrollarse e incluso en etapas de venta (MBO), o recapitalizacion.</t>
  </si>
  <si>
    <t>Omnius (Reclamaciones online a aseguradoras), Sequera (Seguridad y sincronización de información almacenada en la nube), Vinehealth (Analiza el comportamiento y las rutinas diarias de pacientes con cáncer para adaptar el tratamiento a su día a día habitual)</t>
  </si>
  <si>
    <t>Cyber security 
Mobile data 
Fintech</t>
  </si>
  <si>
    <t>Suite 4 Rowan Court
56 High Street
Wimbledon
London
SW19 5EE</t>
  </si>
  <si>
    <t>www.taliscapital.com</t>
  </si>
  <si>
    <t>(Vasile Foca) vasile@taliscapital.com 
(Matus Maar) matus@taliscapital.com 
(Matthew De Jesus) matthew@taliscapital.com</t>
  </si>
  <si>
    <t>0044 203 542 6263 (Matus)</t>
  </si>
  <si>
    <t>VERTEX VENTURE CAPITAL</t>
  </si>
  <si>
    <t>Venture Capital que invierte en empresas con capacidad para liderar el mercado, y que al mismo tiempo puedan crecer, con un modelo de negocio defendible.</t>
  </si>
  <si>
    <t>Binance (Criptomonedas), Sunday (App que crea productos de aseguradora online en función de los hábitos del usuario), Aruna (Plataforma para el comercio del pescado en Indonesia).</t>
  </si>
  <si>
    <t xml:space="preserve">GreenTech y Tecnología emergente
Digital Media Technology y aplicaciones
IT e infraestructura
</t>
  </si>
  <si>
    <t>Europa y medio este</t>
  </si>
  <si>
    <t>Savyon</t>
  </si>
  <si>
    <t>1 HaShikma Street
P.O. B 89, Savyon 56530</t>
  </si>
  <si>
    <t>https://www.vertexventures.sg/</t>
  </si>
  <si>
    <t>Se puede contactar con cualquier miembro del equipo directamente</t>
  </si>
  <si>
    <t>00 972 3 737 8888</t>
  </si>
  <si>
    <t>WARBURG PINCUS</t>
  </si>
  <si>
    <t>Venture capital enfocada a empresas que necesitan crecer. Proveen capital para hacer negocios exitosos, trabajando con el equipo directivo para a lo largo del tiempo construir negocios exitosos.</t>
  </si>
  <si>
    <t>Singular Bank (Neobanco), Ionos (One and one, the largest web hosting company), Visma (Digitalizacion de procesos de negocio).</t>
  </si>
  <si>
    <t>Cosumo y Servicios
Tecnologia
Servicios financieros
Healthcare</t>
  </si>
  <si>
    <t>Almack House
28 King Street, St. James's
SW1Y 6QW</t>
  </si>
  <si>
    <t>www.warburgpincus.com</t>
  </si>
  <si>
    <t>Europe &amp; United Kingdom
Sarah Gestetner
Director, Communications
T: +44 20 7 306 0377</t>
  </si>
  <si>
    <t>0044 20 7 306 0306</t>
  </si>
  <si>
    <t>WELLINGTON PARTNERS</t>
  </si>
  <si>
    <t>Venture capital que invierte principalmente en etapas "Seed" y ocasionalmente en etapas "Growth". Trabajan junto al equipo directivo una vez realizada la aportacion de capital, proporcionandoles asesoramiento y crecimiento</t>
  </si>
  <si>
    <t>Alando-eBay (Comercio online), Inmobilien Scout 24, Spotify.</t>
  </si>
  <si>
    <t>Digital Media
Tecnologico</t>
  </si>
  <si>
    <t>Londres
Munich</t>
  </si>
  <si>
    <t>11 Berkeley Street
London, W1J 8DS
United Kingdom</t>
  </si>
  <si>
    <t>www.wellington-partners.com</t>
  </si>
  <si>
    <t>(Von Perger, asociado) vonperger@wellington-partners.com
(Linus Dagh) dahg@wellington-partners.com
 businessplan@wellington-partners.com</t>
  </si>
  <si>
    <t xml:space="preserve">0044 20 300 64 19 0 </t>
  </si>
  <si>
    <t>Family Offices</t>
  </si>
  <si>
    <t>Austral – Torreal
(Juan Abelló)</t>
  </si>
  <si>
    <t>Marta García Prieto
Ape Tenembaun</t>
  </si>
  <si>
    <t>91-575-66-22</t>
  </si>
  <si>
    <t>mgp@torreal.com</t>
  </si>
  <si>
    <t>Fortuny, 1 28010 Madrid</t>
  </si>
  <si>
    <t>Casa Grande
(familia Del Pino)</t>
  </si>
  <si>
    <t>Ignacio Lecanda
(Director financiero)</t>
  </si>
  <si>
    <t>91-837-94-19</t>
  </si>
  <si>
    <t>Finaccess
(México)</t>
  </si>
  <si>
    <t>Javier Lopz Casado</t>
  </si>
  <si>
    <t>Familia Rezende Barbosa
(Brasil)</t>
  </si>
  <si>
    <t xml:space="preserve">Familia Andosín    </t>
  </si>
  <si>
    <t>Losa Inversiones (Pollo Campero)</t>
  </si>
  <si>
    <t>Hidafa (Familia Gomez Sainz)</t>
  </si>
  <si>
    <t>IJ Partners
(Suiza)</t>
  </si>
  <si>
    <t>José María Figueres</t>
  </si>
  <si>
    <t>+41 22 81 77 920</t>
  </si>
  <si>
    <t>Nicolas Correa</t>
  </si>
  <si>
    <t>Bibiana, Jaime y Josechu</t>
  </si>
  <si>
    <t>Landon Investments</t>
  </si>
  <si>
    <t>Julio Cazorla Antonio Gallardo (Maximo ejecutivo). Contactos: Marc Caus, Nicolás Ruiz</t>
  </si>
  <si>
    <t>93 240 52 00</t>
  </si>
  <si>
    <t>mcaus@landon.es</t>
  </si>
  <si>
    <t>Inversiones Bahía / Grupo Mota</t>
  </si>
  <si>
    <t>Miguel Heras</t>
  </si>
  <si>
    <t>Familia Costafreda</t>
  </si>
  <si>
    <t>Ester Simón Maciá (secretaria)</t>
  </si>
  <si>
    <t>Tfno.: 93.444.33.48</t>
  </si>
  <si>
    <t xml:space="preserve">esm@clianholding.com </t>
  </si>
  <si>
    <t xml:space="preserve">Av. Diagonal 468, 3r A
08006, Barcelona
</t>
  </si>
  <si>
    <t>Corporación Masaveu</t>
  </si>
  <si>
    <t>Inveravante
(Manuel Jove)</t>
  </si>
  <si>
    <t>Santiago Prieto</t>
  </si>
  <si>
    <t>981-257-481</t>
  </si>
  <si>
    <t>-</t>
  </si>
  <si>
    <t>Naropa</t>
  </si>
  <si>
    <t>Alvaro Sobrino</t>
  </si>
  <si>
    <t>91-189-16-00</t>
  </si>
  <si>
    <t>asobrino@naropa.es</t>
  </si>
  <si>
    <t>Omega Capital
(Alicia Koplowitz)</t>
  </si>
  <si>
    <t>Diego Prado</t>
  </si>
  <si>
    <t>91-702-7990</t>
  </si>
  <si>
    <t>dprado@omega-capital.com</t>
  </si>
  <si>
    <t>Rosp Corunna
(Rosalía Mera)</t>
  </si>
  <si>
    <t>El Enebro</t>
  </si>
  <si>
    <t>José Manuel García Velilla
(Director General)</t>
  </si>
  <si>
    <t>91-631-08-20 / 08-52
(Secre Isabel)</t>
  </si>
  <si>
    <t>isalcedo@elenebro.com</t>
  </si>
  <si>
    <t>Ponte Gadea
(Amancio Ortega)</t>
  </si>
  <si>
    <t>José Arnau</t>
  </si>
  <si>
    <t xml:space="preserve">Quercus Equity </t>
  </si>
  <si>
    <t>Cristina Barros</t>
  </si>
  <si>
    <t>91-369-13-29</t>
  </si>
  <si>
    <t>cristinabarros@quercusequity.com</t>
  </si>
  <si>
    <t>Felipe IV, 8
28014 Madrid</t>
  </si>
  <si>
    <t>Fundación Jose Manuel Entrecanales</t>
  </si>
  <si>
    <t>Pablo Ventura Aranguren</t>
  </si>
  <si>
    <t>pventura@fjme.org</t>
  </si>
  <si>
    <t>Mediterrania Capital Partners</t>
  </si>
  <si>
    <t>https://www.mcapitalp.com/</t>
  </si>
  <si>
    <t>356 9914 7237</t>
  </si>
  <si>
    <t>Pallazzo Spinola
46, St. Christopher’s Street – Floor 5, Suite 9
Valletta VLT 1464
Malta</t>
  </si>
  <si>
    <t>FONDO</t>
  </si>
  <si>
    <t>Tipo Fondo</t>
  </si>
  <si>
    <t>TAMAÑO EMPRESA</t>
  </si>
  <si>
    <t>Oquendo</t>
  </si>
  <si>
    <t>Financiación a fondos de Capital Riesgo, empresas familiares y proyectos con necesidades menores de financiación.
Compañias rentables Posición de liderazgo Equipo directivo profesional 3&lt;EBITDA&lt;50 Financiación de adquisiciones y expansión D.Senior, PP, Mezzanine, PIK, acciones preferentes,.. .</t>
  </si>
  <si>
    <t>Generalista</t>
  </si>
  <si>
    <t>EBITDA de entre 3 y 50 MM€</t>
  </si>
  <si>
    <t>Entre 5 y 40 MM€</t>
  </si>
  <si>
    <t>Mr. Wonderful (Artículos de regalo y papelería), Unico (Centros de depilación láser), Aslur (Fabricante de verduras en conserva).</t>
  </si>
  <si>
    <t>INCUS CAPITAL</t>
  </si>
  <si>
    <t>Deuda</t>
  </si>
  <si>
    <t>Adquisiciones por valoración de fundamentales, bajo apalancamiento.</t>
  </si>
  <si>
    <t>Madrid, París, Milan y Lisboa</t>
  </si>
  <si>
    <t>Aguas de Valencia, Jerónimo Martins (Cadena de supermercados en Portugal), Capital Energy (Productor de energía renovable en España y Portugal).</t>
  </si>
  <si>
    <t>MUZINICH</t>
  </si>
  <si>
    <t xml:space="preserve">Deuda Pública y Privada. Análisis bottom-up de crédito para descubrir oportunidades de inversión para las que el mercado esté estimando incorrectamente el nivel de riesgo de esa oportunidad de inversión. </t>
  </si>
  <si>
    <t>Londres y NYC, USA</t>
  </si>
  <si>
    <t xml:space="preserve">Muy variado dependiendo del fondo. ABN (Banco holandés), Caixabank, Barclays. </t>
  </si>
  <si>
    <t>KARTESIA</t>
  </si>
  <si>
    <t>Especializados en soluciones de financiación en el sector Small and Mid-Market focus.</t>
  </si>
  <si>
    <t>Generalista, excepto Real Estate o logística oceánica.</t>
  </si>
  <si>
    <t>EBITDA &gt; 3 MM€</t>
  </si>
  <si>
    <t>Londres, y varias ciudades europeas</t>
  </si>
  <si>
    <t>UCAM (Universidad católica de Murcia), SAS (Soluciones de Agrciultura sostenible), Kerv Group (Servicios en la nube).</t>
  </si>
  <si>
    <t>TREA</t>
  </si>
  <si>
    <t xml:space="preserve">Empresas con un posicionamiento fuerte y defendible en el sector que opere, con 5 años de empesa en funcionamiento y 2 años de cuentas auditadas. </t>
  </si>
  <si>
    <t xml:space="preserve">Generalista, excepto Real Estate y sector financiero. </t>
  </si>
  <si>
    <t>EBITDA &gt; 2 MM€</t>
  </si>
  <si>
    <t>Barcelona, España</t>
  </si>
  <si>
    <t>Información No Disponible</t>
  </si>
  <si>
    <t>TIKEHAU</t>
  </si>
  <si>
    <t>Deuda y PE</t>
  </si>
  <si>
    <t xml:space="preserve">Especialización en Asset Management. Variada en función del fondo. </t>
  </si>
  <si>
    <t xml:space="preserve">Generalista, especializado en función del fondo. </t>
  </si>
  <si>
    <t>Europa, principalmente.</t>
  </si>
  <si>
    <t>Portfolio de Deuda No Disponible</t>
  </si>
  <si>
    <t>METRIC CAPITAL</t>
  </si>
  <si>
    <t xml:space="preserve">Foco en financiación de operaciones corporativas a empresas de tamaño medio. </t>
  </si>
  <si>
    <t>Londres, UK.</t>
  </si>
  <si>
    <t>Laurel Funerals (Funeraria), Beachbox (Cadena de hoteles de lujo), Augusta (Servicios Financieros).</t>
  </si>
  <si>
    <t>PEMBERTON</t>
  </si>
  <si>
    <t>Inversion en empresas con calidad crediticia inferior a Investment Grade, así como la financiación de actividades operativas.</t>
  </si>
  <si>
    <t>Sectores defensivos</t>
  </si>
  <si>
    <t>Europa y Middle-East</t>
  </si>
  <si>
    <t>Generalife (suministros industriales), Relife (Reciclaje), Aromazone (Perfumería y cosmética natural).</t>
  </si>
  <si>
    <t>LGT EUROPEAN</t>
  </si>
  <si>
    <t>Especializados en financiación del Low-Middle Market, a traves de estructuras Unitranche (Estructura híbrida de Senior Debt+ Subordinated)</t>
  </si>
  <si>
    <t>EV de entra 50 y 250MM€ principalmente, con capacidad hasta 500 MM€</t>
  </si>
  <si>
    <t>Lateral (Cadena de restaurantes en España), INSEEC (Grupo de Universidades Privadas en Francia, principalmente), Groupe CIR (Desarrollo y acondicionamiento en el sector Real Estate de lujo)</t>
  </si>
  <si>
    <t>BLUE BAY</t>
  </si>
  <si>
    <t>Financiación de actividades operativas</t>
  </si>
  <si>
    <t>BLUEBAY Capital | Investment (bluebay-capital.com)</t>
  </si>
  <si>
    <t>RESILIENCE</t>
  </si>
  <si>
    <t>Especializadas en Low -Mid Market companies</t>
  </si>
  <si>
    <t>Manufacturas</t>
  </si>
  <si>
    <t>De 25 a 250 MM€ de ingresos</t>
  </si>
  <si>
    <t>Cleveland, USA</t>
  </si>
  <si>
    <t xml:space="preserve">MIQ Partners (Ensambalmiento de componentes electromecánico), Magnum Innovations (Diseño, desarrollo y fabricación de componentes inalámbricos para el sector de la automoción), Simcom Aviation Training (Academia de formación de pilotos de diferentes aeronaves). </t>
  </si>
  <si>
    <t>CAPZANINE</t>
  </si>
  <si>
    <t>Empresas Small to Mid Cap</t>
  </si>
  <si>
    <t>8 MM€ de EBITDA con apalancamientos moderados</t>
  </si>
  <si>
    <t>París, Madrid, Munich y Milan</t>
  </si>
  <si>
    <t>Winback (Desarrollo de dispositivos utilizados en medicina no invasiva), Dental Services Group (Cadena alemana de salud bucodental), Groupe Carso (Análisis biológicos en el sector farmacéutico y alimentario).</t>
  </si>
  <si>
    <t>TREE HILLS CAPITAL PARTNERS (THCP)</t>
  </si>
  <si>
    <t>Orientados a la financiación de Mid-Caps</t>
  </si>
  <si>
    <t>Byron (Cadena de hamburguesas), Wagamama (Cadena de gastronomía asiática), Hunter (Marca muy prestigiosa de botas de goma).</t>
  </si>
  <si>
    <t>Dupont Capital</t>
  </si>
  <si>
    <t xml:space="preserve">Enfocados en la gestión de activos. Búsqueda de oportunidades de inversión tanto en mercados públicos como privados. </t>
  </si>
  <si>
    <t>Delaware, USA</t>
  </si>
  <si>
    <t>October</t>
  </si>
  <si>
    <t>Max. 3 MM€</t>
  </si>
  <si>
    <t>LocalGlobe</t>
  </si>
  <si>
    <t>https://www.localglobe.vc</t>
  </si>
  <si>
    <t>Seedcamp</t>
  </si>
  <si>
    <t>+44 20 3355 7628</t>
  </si>
  <si>
    <t>info@seedcamp.com</t>
  </si>
  <si>
    <t>https://www.seedcamp.com</t>
  </si>
  <si>
    <t>Passion Capital</t>
  </si>
  <si>
    <t>+44 20 7183 9710</t>
  </si>
  <si>
    <t>info@passioncapital.com</t>
  </si>
  <si>
    <t>https://www.passioncapital.com</t>
  </si>
  <si>
    <t>Playfair Capital</t>
  </si>
  <si>
    <t>hello@playfaircapital.com</t>
  </si>
  <si>
    <t>https://www.playfaircapital.com</t>
  </si>
  <si>
    <t>Forward Partners</t>
  </si>
  <si>
    <t>+44 20 3286 3960</t>
  </si>
  <si>
    <t>Ascension</t>
  </si>
  <si>
    <t>Seed</t>
  </si>
  <si>
    <t>hello@ascension.vc</t>
  </si>
  <si>
    <t>https://www.ascension.vc</t>
  </si>
  <si>
    <t>SFC Capital</t>
  </si>
  <si>
    <t>info@sfccapital.co.uk</t>
  </si>
  <si>
    <t>https://www.sfccapital.co.uk</t>
  </si>
  <si>
    <t>Founders Factory</t>
  </si>
  <si>
    <t>+44 20 3897 0100</t>
  </si>
  <si>
    <t>https://foundersfactory.com</t>
  </si>
  <si>
    <t>Fuel Ventures</t>
  </si>
  <si>
    <t>+44 20 3011 4080</t>
  </si>
  <si>
    <t>info@fuelventures.com</t>
  </si>
  <si>
    <t>https://fuelventures.com</t>
  </si>
  <si>
    <t>Kindred Capital</t>
  </si>
  <si>
    <t>hello@kindredcapital.vc</t>
  </si>
  <si>
    <t>https://www.kindredcapital.vc</t>
  </si>
  <si>
    <t>Kima Ventures</t>
  </si>
  <si>
    <t>hello@kimaventures.com</t>
  </si>
  <si>
    <t>https://www.kimaventures.com</t>
  </si>
  <si>
    <t>Newfund</t>
  </si>
  <si>
    <t>https://www.newfundcap.com</t>
  </si>
  <si>
    <t>Daphni</t>
  </si>
  <si>
    <t>contact@daphni.com</t>
  </si>
  <si>
    <t>https://www.daphni.com</t>
  </si>
  <si>
    <t>Alven</t>
  </si>
  <si>
    <t>+33 1 55 34 38 38</t>
  </si>
  <si>
    <t>contact@alven.com</t>
  </si>
  <si>
    <t>https://www.alven.com</t>
  </si>
  <si>
    <t>Breega</t>
  </si>
  <si>
    <t>+33 7 67 41 36 24</t>
  </si>
  <si>
    <t>com@breega.com</t>
  </si>
  <si>
    <t>https://www.breega.com</t>
  </si>
  <si>
    <t>Tech, Digital</t>
  </si>
  <si>
    <t>https://www.htgf.de</t>
  </si>
  <si>
    <t>La Famiglia VC</t>
  </si>
  <si>
    <t>Berlin</t>
  </si>
  <si>
    <t>https://lafamiglia.vc</t>
  </si>
  <si>
    <t>Fly Ventures</t>
  </si>
  <si>
    <t>Internet, SaaS</t>
  </si>
  <si>
    <t>https://fly.vc</t>
  </si>
  <si>
    <t>btov Partners</t>
  </si>
  <si>
    <t>https://btov.vc</t>
  </si>
  <si>
    <t>Speedinvest</t>
  </si>
  <si>
    <t>https://www.speedinvest.com</t>
  </si>
  <si>
    <t>Inveready</t>
  </si>
  <si>
    <t>Digital, Tech</t>
  </si>
  <si>
    <t>https://www.inveready.com</t>
  </si>
  <si>
    <t>Encomenda Capital</t>
  </si>
  <si>
    <t>https://encomendacapital.com</t>
  </si>
  <si>
    <t>Caixa Capital Risc</t>
  </si>
  <si>
    <t>Barcelona / Madrid</t>
  </si>
  <si>
    <t>First Drop Ventures</t>
  </si>
  <si>
    <t>Italian Angels for Growth (IAG)</t>
  </si>
  <si>
    <t>Milan</t>
  </si>
  <si>
    <t>https://www.italianangels.net</t>
  </si>
  <si>
    <t>United Ventures (Seed)</t>
  </si>
  <si>
    <t>https://www.unitedventures.it</t>
  </si>
  <si>
    <t>P101</t>
  </si>
  <si>
    <t>https://www.p101.it</t>
  </si>
  <si>
    <t>Nombre</t>
  </si>
  <si>
    <t>Linkedin</t>
  </si>
  <si>
    <t>Twitter</t>
  </si>
  <si>
    <t>Email</t>
  </si>
  <si>
    <t>Comments</t>
  </si>
  <si>
    <t>15K Angels</t>
  </si>
  <si>
    <t>https://www.15kangels.com/</t>
  </si>
  <si>
    <t>4founders Capital</t>
  </si>
  <si>
    <t>https://www.4founderscapital.com/</t>
  </si>
  <si>
    <t>AccelGrow</t>
  </si>
  <si>
    <t>https://www.accelgrow.com/accel-grow-ventures/</t>
  </si>
  <si>
    <t>Ad4ventures</t>
  </si>
  <si>
    <t>http://www.ad4ventures.com/investment-model/</t>
  </si>
  <si>
    <t>Media for Equity</t>
  </si>
  <si>
    <t>Adeyemi Ajao</t>
  </si>
  <si>
    <t>https://www.linkedin.com/in/adeyemiajao</t>
  </si>
  <si>
    <t>Based in US</t>
  </si>
  <si>
    <t>Adriana Freitas</t>
  </si>
  <si>
    <t>https://www.linkedin.com/in/adrianafreitas/</t>
  </si>
  <si>
    <t>Muster Ventures</t>
  </si>
  <si>
    <t>AIE</t>
  </si>
  <si>
    <t>http://aiei.es/index.html</t>
  </si>
  <si>
    <t>Asociación de Inversores y Emprendedores de Internet</t>
  </si>
  <si>
    <t>Alantis</t>
  </si>
  <si>
    <t>http://alantis.es/</t>
  </si>
  <si>
    <t>Albert Armengol</t>
  </si>
  <si>
    <t>https://es.linkedin.com/in/albertarmengol</t>
  </si>
  <si>
    <t>https://twitter.com/albertarmengol</t>
  </si>
  <si>
    <t>https://angel.co/p/albertarmengol</t>
  </si>
  <si>
    <t>Invirtió en Uvinum y Nautal, ambos con exit</t>
  </si>
  <si>
    <t>Albert Betella</t>
  </si>
  <si>
    <t>https://www.linkedin.com/in/albertobetella/</t>
  </si>
  <si>
    <t>https://twitter.com/albertobeta</t>
  </si>
  <si>
    <t>betella.net</t>
  </si>
  <si>
    <t>CTO Badi y Koa Health</t>
  </si>
  <si>
    <t>Albert Colomer</t>
  </si>
  <si>
    <t>https://www.linkedin.com/in/albertcolomer/</t>
  </si>
  <si>
    <t>Fundador de BANC</t>
  </si>
  <si>
    <t>Albert Feliu</t>
  </si>
  <si>
    <t>https://www.linkedin.com/in/albertfeliu/</t>
  </si>
  <si>
    <t>https://twitter.com/albertfeliu</t>
  </si>
  <si>
    <t>Founder Infojobs</t>
  </si>
  <si>
    <t>Albert Morcillo</t>
  </si>
  <si>
    <t>https://www.linkedin.com/in/albertmorcillo/</t>
  </si>
  <si>
    <t>Investor in marketplaces like Guruwalk, co-Founder Rocket ROI</t>
  </si>
  <si>
    <t>Albert Ribera</t>
  </si>
  <si>
    <t>https://www.linkedin.com/in/albertribera/</t>
  </si>
  <si>
    <t>SEO manager Wallapop, experience in Trovit and other classifieds. Investor in Scoolinary and GoTrendier</t>
  </si>
  <si>
    <t>Alberto Benbunan</t>
  </si>
  <si>
    <t>https://www.linkedin.com/in/abenbunan/</t>
  </si>
  <si>
    <t>https://twitter.com/betobetico</t>
  </si>
  <si>
    <t>Passion and curiosity about Commercetech.</t>
  </si>
  <si>
    <t>Alberto Knapp</t>
  </si>
  <si>
    <t>https://es.linkedin.com/in/albertoknapp</t>
  </si>
  <si>
    <t>https://twitter.com/albertoknapp</t>
  </si>
  <si>
    <t xml:space="preserve">Founder at the Cocktail, mentor at SeedRocket </t>
  </si>
  <si>
    <t>Alejandro de Leon Moreno</t>
  </si>
  <si>
    <t>https://www.linkedin.com/in/alejandro-de-le%C3%B3n-moreno-a550821b/</t>
  </si>
  <si>
    <t>https://twitter.com/aledeleonmoreno</t>
  </si>
  <si>
    <t>Alejandro Suárez</t>
  </si>
  <si>
    <t>https://www.linkedin.com/in/alejandro-su%C3%A1rez-sanchez-oca%C3%B1a-62375aa/</t>
  </si>
  <si>
    <t>https://twitter.com/alejandrosuarez</t>
  </si>
  <si>
    <t>Alex Bryszkowski</t>
  </si>
  <si>
    <t>https://www.linkedin.com/in/alexbki/</t>
  </si>
  <si>
    <t>https://twitter.com/alexbki</t>
  </si>
  <si>
    <t>https://alexbki.carrd.co/#</t>
  </si>
  <si>
    <t>Alex Dantart</t>
  </si>
  <si>
    <t>https://www.linkedin.com/in/dantart/</t>
  </si>
  <si>
    <t>https://twitter.com/dantart</t>
  </si>
  <si>
    <t xml:space="preserve">https://calendly.com/dantart </t>
  </si>
  <si>
    <t>Partner Aragon VC</t>
  </si>
  <si>
    <t>Àlex Rodríguez Bacardit</t>
  </si>
  <si>
    <t>https://www.linkedin.com/in/alexrodba/</t>
  </si>
  <si>
    <t>https://www.startupgrind.com/</t>
  </si>
  <si>
    <t>Jefe Startup Grind España</t>
  </si>
  <si>
    <t>Andoni Alfaro</t>
  </si>
  <si>
    <t>https://www.linkedin.com/in/andoni-alfaro-8332572/</t>
  </si>
  <si>
    <t>Entrepreneurial Experience in travel industry</t>
  </si>
  <si>
    <t>Andreas Mihalovits</t>
  </si>
  <si>
    <t>https://www.linkedin.com/in/andreasmihalovits/</t>
  </si>
  <si>
    <t>If your startup has reached at least 20k € MRR</t>
  </si>
  <si>
    <t>Andrés Bou</t>
  </si>
  <si>
    <t>https://www.linkedin.com/in/andresbou/</t>
  </si>
  <si>
    <t>Co-Founder Social Point</t>
  </si>
  <si>
    <t>Angel Garcia</t>
  </si>
  <si>
    <t>https://www.linkedin.com/in/angelgarciabcn/?originalSubdomain=es</t>
  </si>
  <si>
    <t>https://lantacapital.com/</t>
  </si>
  <si>
    <t>Founder of Lanta ventures, doesn´t seem to be active investing</t>
  </si>
  <si>
    <t>Angels Capital</t>
  </si>
  <si>
    <t>https://www.angelscapital.es/empresas/</t>
  </si>
  <si>
    <t>Inversión directa en startups de lanzadera. Conectan a emprendedores (no tienen que ser de lanzadera) con inversores por medio del Foro Inversión Angels</t>
  </si>
  <si>
    <t>Angels Roqueta</t>
  </si>
  <si>
    <t>https://www.linkedin.com/in/angelsroqueta-asesoramiento-estrategico-inversion-consejera-profesora-businessangel/</t>
  </si>
  <si>
    <t>https://twitter.com/AngelsRoqueta</t>
  </si>
  <si>
    <t>BA, no track record and no preference</t>
  </si>
  <si>
    <t>Antonio Cantalapiedra</t>
  </si>
  <si>
    <t>https://www.linkedin.com/in/antonio-cantalapiedra-asensio-3076851/</t>
  </si>
  <si>
    <t>https://twitter.com/tonikant</t>
  </si>
  <si>
    <t>Former My Taxi Founder. Currently working on raising for his new startup</t>
  </si>
  <si>
    <t>Avi Meir</t>
  </si>
  <si>
    <t>https://www.linkedin.com/in/avimeir/</t>
  </si>
  <si>
    <t>https://twitter.com/avimeir</t>
  </si>
  <si>
    <t>CEO TravelPerk</t>
  </si>
  <si>
    <t>AWIN Capital</t>
  </si>
  <si>
    <t>https://www.awincapital.com/videojuegos/</t>
  </si>
  <si>
    <t>Fondo especializado en gaming</t>
  </si>
  <si>
    <t>No public track record, invested in Velca</t>
  </si>
  <si>
    <t>Bernardo Hernández</t>
  </si>
  <si>
    <t>https://www.linkedin.com/in/bernardohernandez</t>
  </si>
  <si>
    <t>Investor in Wallapop</t>
  </si>
  <si>
    <t>Carlos Blanco</t>
  </si>
  <si>
    <t>https://www.linkedin.com/in/carlosblanco/</t>
  </si>
  <si>
    <t>https://twitter.com/carlosblanco</t>
  </si>
  <si>
    <t>Not active</t>
  </si>
  <si>
    <t>Carlos Domingo</t>
  </si>
  <si>
    <t>https://ae.linkedin.com/in/carlosdomingo</t>
  </si>
  <si>
    <t>https://twitter.com/carlosdomingo</t>
  </si>
  <si>
    <t>Carlos Pierre</t>
  </si>
  <si>
    <t>https://www.linkedin.com/in/carlos-pierre-88b15461/</t>
  </si>
  <si>
    <t>https://twitter.com/CarlosPierretri</t>
  </si>
  <si>
    <t>Founder of Badi, so great knowledge of marketplace dynamics</t>
  </si>
  <si>
    <t>Civeta</t>
  </si>
  <si>
    <t>https://civeta.es/#whatwedo</t>
  </si>
  <si>
    <t>Back Goin and so</t>
  </si>
  <si>
    <t>Conexo Ventures</t>
  </si>
  <si>
    <t>https://conexo.vc/</t>
  </si>
  <si>
    <t>CoreAngels Madrid</t>
  </si>
  <si>
    <t>https://coreangels.com/angel-groups/madrid</t>
  </si>
  <si>
    <t>Cupido Capital</t>
  </si>
  <si>
    <t>https://www.cupidocapital.com/#que-es-cupido</t>
  </si>
  <si>
    <t>Valoración tiene que ser &lt;500k</t>
  </si>
  <si>
    <t>Daniel Táboas</t>
  </si>
  <si>
    <t>https://www.linkedin.com/in/databoas/</t>
  </si>
  <si>
    <t>David Carrero</t>
  </si>
  <si>
    <t>https://www.linkedin.com/in/dcarrero/</t>
  </si>
  <si>
    <t xml:space="preserve">Miembro EO, inversor a traves de Civeta, mas centrado en cloud </t>
  </si>
  <si>
    <t>https://ufounders.com/</t>
  </si>
  <si>
    <t>David Ruiz De Andres</t>
  </si>
  <si>
    <t>https://www.linkedin.com/in/druizdeandres/?originalSubdomain=es</t>
  </si>
  <si>
    <t>https://twitter.com/druizdeandres</t>
  </si>
  <si>
    <t>daruanvc.com</t>
  </si>
  <si>
    <t>Specialized in Green Tech, used to have Venture Fund</t>
  </si>
  <si>
    <t>David Tomás</t>
  </si>
  <si>
    <t>https://es.linkedin.com/in/david-tomas-88529b</t>
  </si>
  <si>
    <t>Mentor Seed Rocket, agencia marketing digital. Inversor en Tacter</t>
  </si>
  <si>
    <t>Dídac Lee</t>
  </si>
  <si>
    <t>https://es.linkedin.com/in/didaclee</t>
  </si>
  <si>
    <t>Invirtió en Badi, Glovo y Housfy</t>
  </si>
  <si>
    <t>Diego Ballesteros</t>
  </si>
  <si>
    <t>http://www.diegoballesteros.com/</t>
  </si>
  <si>
    <t>https://twitter.com/diegoteca</t>
  </si>
  <si>
    <t>https://ancla.life/</t>
  </si>
  <si>
    <t>Invirtió en SinDelantal, con exito de Just Eat. Centrado en Ancla</t>
  </si>
  <si>
    <t>Diego Mariño</t>
  </si>
  <si>
    <t>https://www.linkedin.com/in/diegomarino/</t>
  </si>
  <si>
    <t>https://twitter.com/diegomarino</t>
  </si>
  <si>
    <t>blog.productiza.me</t>
  </si>
  <si>
    <t>Kibo VC</t>
  </si>
  <si>
    <t>Dozen</t>
  </si>
  <si>
    <t>https://dozeninvestments.com/</t>
  </si>
  <si>
    <t>DraperB1</t>
  </si>
  <si>
    <t>https://draperb1.vc/</t>
  </si>
  <si>
    <t>200k de ticket</t>
  </si>
  <si>
    <t>Easo Ventures</t>
  </si>
  <si>
    <t>https://www.easoventures.com/politica-de-inversion/</t>
  </si>
  <si>
    <t>100k-1M de ticket.
Empresas con una estrategia clara de crecimiento, con un modelo de negocio contrastado y equipo capaz de liderar el proyecto en expansión</t>
  </si>
  <si>
    <t>Elena Gomez del Pozuelo</t>
  </si>
  <si>
    <t>https://www.linkedin.com/in/elenagomezdelpozuelo/?originalSubdomain=es</t>
  </si>
  <si>
    <t>Investor in 11 projects</t>
  </si>
  <si>
    <t>Elies Campo</t>
  </si>
  <si>
    <t>https://angel.co/elies</t>
  </si>
  <si>
    <t>Based in US and not investing anymore</t>
  </si>
  <si>
    <t>Encomenda</t>
  </si>
  <si>
    <t>Eneko Knörr</t>
  </si>
  <si>
    <t>https://www.linkedin.com/in/enekoknorr</t>
  </si>
  <si>
    <t>https://www.angelclub.es/</t>
  </si>
  <si>
    <t>Mejor BA de España, inversor en Badi</t>
  </si>
  <si>
    <t>Enrique Dubois</t>
  </si>
  <si>
    <t>https://www.linkedin.com/in/enriquedubois/</t>
  </si>
  <si>
    <t>https://twitter.com/KikeDBS</t>
  </si>
  <si>
    <t>Inversor a través de AngelClub</t>
  </si>
  <si>
    <t>Fondo Bolsa Social</t>
  </si>
  <si>
    <t>Francesc Duarri</t>
  </si>
  <si>
    <t>https://www.linkedin.com/in/francesc-duarri-6572a6b/</t>
  </si>
  <si>
    <t>Formerly in DeporVillage</t>
  </si>
  <si>
    <t>François Derbaix</t>
  </si>
  <si>
    <t>https://es.linkedin.com/in/fderbaix</t>
  </si>
  <si>
    <t>https://twitter.com/fderbaix</t>
  </si>
  <si>
    <t>Foco actual en finanzas y seguros</t>
  </si>
  <si>
    <t>Founder Antai</t>
  </si>
  <si>
    <t>Fintech</t>
  </si>
  <si>
    <t>ICF</t>
  </si>
  <si>
    <t>http://www.icf.cat/es/qui-som/grup-icf/icf-capital/#:~:text=ICF%20Venture%20Tech%20II.,actualmente%20en%20per%C3%ADodo%20de%20desinversi%C3%B3n</t>
  </si>
  <si>
    <t>Préstamo convertible</t>
  </si>
  <si>
    <t>IEF Ventures</t>
  </si>
  <si>
    <t>https://www.linkedin.com/in/juanalvarezdelara/</t>
  </si>
  <si>
    <t>http://alumni.iefweb.org/networking/ief-angels-network/</t>
  </si>
  <si>
    <t>Unico requirement es MVP y predisposicion a recibir advice estrategico</t>
  </si>
  <si>
    <r>
      <rPr>
        <sz val="10"/>
        <rFont val="Arial"/>
        <family val="2"/>
      </rPr>
      <t>IESE Business Angels Network</t>
    </r>
    <r>
      <rPr>
        <sz val="10"/>
        <rFont val="Arial"/>
        <family val="2"/>
      </rPr>
      <t xml:space="preserve"> - Contacto: </t>
    </r>
    <r>
      <rPr>
        <sz val="10"/>
        <rFont val="Arial"/>
        <family val="2"/>
      </rPr>
      <t xml:space="preserve">Amparo de San Jose </t>
    </r>
  </si>
  <si>
    <t>Ignacio Mayol de Tord</t>
  </si>
  <si>
    <t>https://www.linkedin.com/in/ignaciomayoldetord/</t>
  </si>
  <si>
    <r>
      <t xml:space="preserve">Invirtió en 21 Buttons, Melbot Studios, Grupalia, </t>
    </r>
    <r>
      <rPr>
        <u/>
        <sz val="10"/>
        <color indexed="24"/>
        <rFont val="Arial"/>
        <family val="2"/>
      </rPr>
      <t>Wuaki.tv</t>
    </r>
    <r>
      <rPr>
        <sz val="10"/>
        <rFont val="Arial"/>
        <family val="2"/>
      </rPr>
      <t>. Relativamente activo</t>
    </r>
  </si>
  <si>
    <t>Iker Marcaide</t>
  </si>
  <si>
    <t>https://www.linkedin.com/in/ikermarcaide/</t>
  </si>
  <si>
    <t>https://twitter.com/ikermarcaide</t>
  </si>
  <si>
    <t>https://www.zubilabs.com/</t>
  </si>
  <si>
    <t>Founder Flywire, focused on ZubiLabs and venturedebt</t>
  </si>
  <si>
    <t>Inés Ures</t>
  </si>
  <si>
    <t>https://www.linkedin.com/in/inesures/</t>
  </si>
  <si>
    <t>tech &amp; D2C space, Ex-Deliveroo, Treatwell country manager</t>
  </si>
  <si>
    <t>Jan Brinckmann</t>
  </si>
  <si>
    <t>https://www.linkedin.com/in/janbrinckmann/</t>
  </si>
  <si>
    <t>https://twitter.com/janbri</t>
  </si>
  <si>
    <t>Focused on B2B SaaS (English)</t>
  </si>
  <si>
    <t>Javier Andrés</t>
  </si>
  <si>
    <t>https://www.linkedin.com/in/javierandresmarin/</t>
  </si>
  <si>
    <t>https://twitter.com/javier_andres</t>
  </si>
  <si>
    <t>Mentor Seed Rocket, Angel Investor, Founder Ticketea y Advisor de marketplaces</t>
  </si>
  <si>
    <t>Javier Escribano</t>
  </si>
  <si>
    <t>https://www.linkedin.com/in/fesja/</t>
  </si>
  <si>
    <t>CEO Selltag, contactar si hemos cerrado algo o en busca de intros si andamos desesperados</t>
  </si>
  <si>
    <t>Javier Llorente Moral</t>
  </si>
  <si>
    <t>https://www.linkedin.com/in/javier-llorente-moral-a6ab9913b/</t>
  </si>
  <si>
    <t>Javier Megias</t>
  </si>
  <si>
    <t>https://www.linkedin.com/in/javiermegiasterol/</t>
  </si>
  <si>
    <t>https://twitter.com/jmegias</t>
  </si>
  <si>
    <t>Presi de Bankinter Startups y co fundador startupxplore
Looking for SEED stage companies
Funds up to 30K€ per company
Teams fully commited
Usually 1-2 investments per year</t>
  </si>
  <si>
    <t>Jesús Encinar</t>
  </si>
  <si>
    <t>https://twitter.com/jesusencinar?lang=es</t>
  </si>
  <si>
    <t>Founder of Idealista</t>
  </si>
  <si>
    <t>Jesús Monleón</t>
  </si>
  <si>
    <t>https://es.linkedin.com/in/jesusmonleon</t>
  </si>
  <si>
    <t>https://twitter.com/jemonleon</t>
  </si>
  <si>
    <t>https://www.blogdeemprendedores.com/</t>
  </si>
  <si>
    <t>Founder SeedRocket, focalizado en GoTrendier</t>
  </si>
  <si>
    <t>Jon Etxebarria</t>
  </si>
  <si>
    <t>https://www.linkedin.com/in/jonetxeberriaijurra/</t>
  </si>
  <si>
    <t>https://unitatea.com/investment.html</t>
  </si>
  <si>
    <t>Partner Unitatea</t>
  </si>
  <si>
    <t>MedTech</t>
  </si>
  <si>
    <t>Julio Arias</t>
  </si>
  <si>
    <t>Kapita</t>
  </si>
  <si>
    <t>http://www.kapita.io/</t>
  </si>
  <si>
    <t>No investment thesis, but their focus is in Retail &amp; Tech</t>
  </si>
  <si>
    <t>Karen Prats</t>
  </si>
  <si>
    <t>Founded and sold a marketplace, but only 1 investment, we´ll have to talk to see if she´s interested</t>
  </si>
  <si>
    <t>Keiretsu Forum</t>
  </si>
  <si>
    <t>https://www.keiretsuforum.es/formulario-descarga/</t>
  </si>
  <si>
    <t>Foros de inversión de BAs, presentación el 26 de Mayo</t>
  </si>
  <si>
    <t>Keith Ventures</t>
  </si>
  <si>
    <t>http://www.keith.vc/filosofia/#realiza</t>
  </si>
  <si>
    <t>Queremos invertir en equipos con alto talento que estén iniciando una startup. Equipos con la ambición y capacidad de ser globales.</t>
  </si>
  <si>
    <t>KFounders</t>
  </si>
  <si>
    <t>https://www.kfund.vc/kfounders</t>
  </si>
  <si>
    <t>Requerimiento es que el proyecto tenga menos de 6 meses, pero no especifican si desde creacion o desde lanzamiento</t>
  </si>
  <si>
    <t>Lanai Partners</t>
  </si>
  <si>
    <t>https://lanaipartners.com/</t>
  </si>
  <si>
    <t>Lánzame Capital</t>
  </si>
  <si>
    <t>http://lanzame.es/</t>
  </si>
  <si>
    <t>Laura Urquizu</t>
  </si>
  <si>
    <t>https://www.linkedin.com/in/lauraurquizu/</t>
  </si>
  <si>
    <t>https://twitter.com/Lurquizu</t>
  </si>
  <si>
    <t>CEO Red Points, no track as BA</t>
  </si>
  <si>
    <t>LevelsUpVentures</t>
  </si>
  <si>
    <t>https://levelsup.eu/</t>
  </si>
  <si>
    <t>Ayudamos a completar tickets de 10K€ - 100K€ con smart money, inversores en Kleta, Treinta y gran comunidad de emprendedores</t>
  </si>
  <si>
    <t>Lily Joo</t>
  </si>
  <si>
    <t>https://www.linkedin.com/in/lilyjoo/</t>
  </si>
  <si>
    <t>Actively investing fast and early in exceptional founders tackling big problems in emerging markets globally.</t>
  </si>
  <si>
    <t>Liz Fleming</t>
  </si>
  <si>
    <t>https://www.linkedin.com/in/lizfleming/</t>
  </si>
  <si>
    <t>https://twitter.com/LDFleming</t>
  </si>
  <si>
    <t>Not very active, former partner at Adara</t>
  </si>
  <si>
    <t>Luis Bonell</t>
  </si>
  <si>
    <t>https://www.linkedin.com/in/luis-bonell-64a71034/</t>
  </si>
  <si>
    <t>Requires PMF and metrics</t>
  </si>
  <si>
    <t>Luis Gutierrez</t>
  </si>
  <si>
    <t>https://www.linkedin.com/in/luis-gutierrez-roy-9323305/?originalSubdomain=es</t>
  </si>
  <si>
    <t>Managing Partner THCap</t>
  </si>
  <si>
    <t>Luis Martin Cabiedes</t>
  </si>
  <si>
    <t>https://www.linkedin.com/in/luismartincabiedes/?locale=es_ES</t>
  </si>
  <si>
    <t>https://twitter.com/luismcabiedes</t>
  </si>
  <si>
    <t>Has invested in many marketplaces, such as Blablacar. Foucsed on B2C Companies</t>
  </si>
  <si>
    <t>MadBAN</t>
  </si>
  <si>
    <t>Making Ideas Business</t>
  </si>
  <si>
    <t>http://www.makingideasbusiness.com/cuentanos-tu-idea/</t>
  </si>
  <si>
    <t>Manuel Jaffrin</t>
  </si>
  <si>
    <t>https://www.linkedin.com/in/mjaffrin/</t>
  </si>
  <si>
    <t>Very active, invested in GuruWalk</t>
  </si>
  <si>
    <t>Manuel Muñiz-Morell</t>
  </si>
  <si>
    <t>https://www.linkedin.com/in/manuel-muniz-morell/</t>
  </si>
  <si>
    <t>https://twitter.com/mmunizmorell</t>
  </si>
  <si>
    <t>Invierte a través de Pinama</t>
  </si>
  <si>
    <t>Marc Borrell</t>
  </si>
  <si>
    <t>https://www.linkedin.com/in/marcborrellbemobile/</t>
  </si>
  <si>
    <t>Founder 101 Startups and 101 Ventures. In the fund they invest between 500-1.5M. Founder of a marketplace for bikes</t>
  </si>
  <si>
    <t>Marc Edo</t>
  </si>
  <si>
    <t>https://www.linkedin.com/in/marcedo/</t>
  </si>
  <si>
    <t>Doesn´t seem to be actively investing, but member of Barcelona Tech City, so big network</t>
  </si>
  <si>
    <t>Marc Ingla</t>
  </si>
  <si>
    <t>https://www.linkedin.com/in/marc-ingla-65b227/</t>
  </si>
  <si>
    <t>https://twitter.com/marcingla</t>
  </si>
  <si>
    <t>Business angeling, investor and advisory in the Mobile, Media and Internet sectors with a global focus</t>
  </si>
  <si>
    <t>Marc Ros</t>
  </si>
  <si>
    <t>https://www.linkedin.com/in/marc-ros-78ba235/</t>
  </si>
  <si>
    <t>Partner at IVC</t>
  </si>
  <si>
    <t>Marc Vicente</t>
  </si>
  <si>
    <t>https://www.linkedin.com/in/marcvicente/</t>
  </si>
  <si>
    <t>https://twitter.com/mvicente</t>
  </si>
  <si>
    <t>COO Jeff, CEO ABA, COO Rakuten</t>
  </si>
  <si>
    <t>Marcos Alves</t>
  </si>
  <si>
    <t>https://es.linkedin.com/in/marcosalvescardoso</t>
  </si>
  <si>
    <t>https://twitter.com/malvescardoso</t>
  </si>
  <si>
    <t>Investor in RaceTick and Scoolinary, founder ElTenedor, currently in Luda</t>
  </si>
  <si>
    <t>Marcos Cabezón</t>
  </si>
  <si>
    <t>https://www.linkedin.com/in/marcos-cabezon-5664622/</t>
  </si>
  <si>
    <t>https://spacestartup.es/servicio-start/</t>
  </si>
  <si>
    <t>Space Startup</t>
  </si>
  <si>
    <t>Marek Fodor</t>
  </si>
  <si>
    <t>https://uk.linkedin.com/in/marekfodor</t>
  </si>
  <si>
    <t>https://twitter.com/fodor</t>
  </si>
  <si>
    <t>Chairman Kantox, mentor SeedRocket y partner 4founders</t>
  </si>
  <si>
    <t>María Echavarri</t>
  </si>
  <si>
    <t>https://www.linkedin.com/in/mariaechavarritoda/</t>
  </si>
  <si>
    <t>Fondo Bolsa Social, focused on projects with social impact and ticket from 50 to 500k</t>
  </si>
  <si>
    <t>María Eugenia Girón</t>
  </si>
  <si>
    <t>https://www.linkedin.com/in/mariaeugeniagiron/</t>
  </si>
  <si>
    <t>https://twitter.com/MARIAGIRON</t>
  </si>
  <si>
    <t>Maria Luisa Garcia</t>
  </si>
  <si>
    <t>https://www.linkedin.com/in/marialuisagarciag/</t>
  </si>
  <si>
    <t>President of AABAN with experience selling 2 companies</t>
  </si>
  <si>
    <t>Mario Bruggemann</t>
  </si>
  <si>
    <t>https://www.linkedin.com/in/mariobrueggemann/</t>
  </si>
  <si>
    <t>Mario Vicente Sánchez</t>
  </si>
  <si>
    <t>https://www.linkedin.com/in/marioundanet/</t>
  </si>
  <si>
    <t>Background tecnológico, investor en Velca, Truckster y más</t>
  </si>
  <si>
    <t>Markus Kopka</t>
  </si>
  <si>
    <t>https://www.linkedin.com/in/markus-kopka/</t>
  </si>
  <si>
    <t>https://www.greatstuffventures.es/</t>
  </si>
  <si>
    <t>Marta Esteve</t>
  </si>
  <si>
    <t>https://www.linkedin.com/in/martaesteve/</t>
  </si>
  <si>
    <t>Founder Rentalia, Toprural</t>
  </si>
  <si>
    <t>Martí Manent</t>
  </si>
  <si>
    <t>https://www.linkedin.com/in/martimanent/</t>
  </si>
  <si>
    <t>https://twitter.com/martimanent</t>
  </si>
  <si>
    <t>Founder of a legal marketplace, mentor SeedRocket</t>
  </si>
  <si>
    <t>Martín Varsavsky</t>
  </si>
  <si>
    <t>https://www.linkedin.com/in/martinvarsavsky</t>
  </si>
  <si>
    <t>https://twitter.com/martinvars</t>
  </si>
  <si>
    <t>martinvarsavsky.net</t>
  </si>
  <si>
    <t>https://vas.ventures/ VAS Ventures is his vehicle</t>
  </si>
  <si>
    <t>Media Digital Ventures</t>
  </si>
  <si>
    <t>https://elreferente.es/actualidad/antai-venture-builder-lanza-el-primer-fondo-de-media-for-equity-con-activos-publicitarios-en-redes-sociales-y-plataformas-digitales/</t>
  </si>
  <si>
    <t>Esperar a que llevemos un poco más de tracción
Modelo de negocio validado y cierta tracción</t>
  </si>
  <si>
    <t>Mercedes Blanco Gonzalez</t>
  </si>
  <si>
    <t>https://www.linkedin.com/in/mercedesblancogonzalez/</t>
  </si>
  <si>
    <t>Mercurius Investments</t>
  </si>
  <si>
    <t>https://www.mercurius-investment.vc/</t>
  </si>
  <si>
    <t>Michael Kappler</t>
  </si>
  <si>
    <t>https://www.linkedin.com/in/michael-kappler/</t>
  </si>
  <si>
    <t>Focused on helping more towards Series A</t>
  </si>
  <si>
    <t>Miguel Álvarez Rey</t>
  </si>
  <si>
    <t>https://www.linkedin.com/in/miguelalvarezrey/</t>
  </si>
  <si>
    <t>Invirtió recientemente en Velca y Footers</t>
  </si>
  <si>
    <t>Miguel Angel Tovar</t>
  </si>
  <si>
    <t>https://www.linkedin.com/in/tovar/</t>
  </si>
  <si>
    <t>Invests only via BAN</t>
  </si>
  <si>
    <t>Miguel Arias</t>
  </si>
  <si>
    <t>https://www.linkedin.com/in/miguelarias/</t>
  </si>
  <si>
    <t>https://twitter.com/mike_arias</t>
  </si>
  <si>
    <t>emprenderagolpes.com</t>
  </si>
  <si>
    <t>Probably just investing through Wayra, not on an individual level anymore</t>
  </si>
  <si>
    <t>Miguel Eguizabal Abad</t>
  </si>
  <si>
    <t>https://www.linkedin.com/in/miguel-eguizabal-abad/</t>
  </si>
  <si>
    <t>No recent track record, focused on green energy projects</t>
  </si>
  <si>
    <t>Miguel Huguet</t>
  </si>
  <si>
    <t>https://www.linkedin.com/in/miguel-huguet-vi%C3%B1as-51b09444/</t>
  </si>
  <si>
    <t>Writer with experience raising funds and author book Fundraising</t>
  </si>
  <si>
    <t>Miguel Vicente</t>
  </si>
  <si>
    <t>https://es.linkedin.com/in/miguel-vicente-5348358</t>
  </si>
  <si>
    <t>Mikel Castaños Lopez</t>
  </si>
  <si>
    <t>https://www.linkedin.com/in/mikelcastanoslopez/</t>
  </si>
  <si>
    <t>Nacho Giral</t>
  </si>
  <si>
    <t>https://www.linkedin.com/in/nachogiral/</t>
  </si>
  <si>
    <t>https://twitter.com/NachoGiral</t>
  </si>
  <si>
    <t>CEO Atrapalo. According to bio, interested in early stage startups</t>
  </si>
  <si>
    <t>Net Capital</t>
  </si>
  <si>
    <t>https://netcapital.es/</t>
  </si>
  <si>
    <t>Estamos enfocados en fases iniciales, en capital semilla o seed.
Buscamos proyectos con valoración premoney por debajo de 2M€.
Participación mínima a tomar entre un 5%.</t>
  </si>
  <si>
    <t>Netin Club</t>
  </si>
  <si>
    <t>Nico Bour</t>
  </si>
  <si>
    <t>https://www.linkedin.com/in/nicobour/</t>
  </si>
  <si>
    <t>Mentor Seed Rocket, founder of Uvinum</t>
  </si>
  <si>
    <t>Ona Capital</t>
  </si>
  <si>
    <t>http://onacapital.com/?lang=es</t>
  </si>
  <si>
    <t xml:space="preserve">Entramos en empresas, en sus fases iniciales, con capacidad de escalar. Participados en marketplaces y empresas Gaming
Plan de Negocio estructurado con los siguientes apartados:Oportunidad Modelo de Negocio Producto Mercado Equipo Análisis Financiero Valoración empresa y propuesta de participación. </t>
  </si>
  <si>
    <t>Oriol Juncosa</t>
  </si>
  <si>
    <t>https://es.linkedin.com/in/ojuncosa</t>
  </si>
  <si>
    <t>Oscar Fuente</t>
  </si>
  <si>
    <t>https://www.linkedin.com/in/oscarfuente/</t>
  </si>
  <si>
    <t>https://twitter.com/oscarfuente</t>
  </si>
  <si>
    <t>Mentor SeedRocket, inversor en Chicfy y CEO de IEBS</t>
  </si>
  <si>
    <t>Pablo Callejon</t>
  </si>
  <si>
    <t>https://www.linkedin.com/in/pablocallejon/</t>
  </si>
  <si>
    <t>Investor in marketplaces like Nannify and Guruwalk, co-Founder Rocket ROI</t>
  </si>
  <si>
    <t>Pablo Carrallo</t>
  </si>
  <si>
    <t>https://www.linkedin.com/in/pablocarrallo/</t>
  </si>
  <si>
    <t>https://twitter.com/pcarrallo</t>
  </si>
  <si>
    <t>BA in pre seed, invests in green energy, but besides that no clear thesis. Invirtió en Flywire</t>
  </si>
  <si>
    <t>Pablo Szefner</t>
  </si>
  <si>
    <t>https://www.linkedin.com/in/pabloszefner/</t>
  </si>
  <si>
    <t>https://twitter.com/tibjazz</t>
  </si>
  <si>
    <t>Active BA, LP Seed Rocket, focused on Moonoa</t>
  </si>
  <si>
    <t>Pablo Zubicaray</t>
  </si>
  <si>
    <t>https://www.linkedin.com/in/pablo-zubicaray-01866a/?originalSubdomain=es</t>
  </si>
  <si>
    <t>Invirtión en GameStry, Badi y Glov</t>
  </si>
  <si>
    <t>Paco Gimena</t>
  </si>
  <si>
    <t>https://www.linkedin.com/in/pacogimena/</t>
  </si>
  <si>
    <t>https://www.mola.com/#work</t>
  </si>
  <si>
    <r>
      <t xml:space="preserve">Founder </t>
    </r>
    <r>
      <rPr>
        <u/>
        <sz val="10"/>
        <color indexed="24"/>
        <rFont val="Arial"/>
        <family val="2"/>
      </rPr>
      <t>Mola.com, invertido en Habitissimo</t>
    </r>
  </si>
  <si>
    <t>Patricia Casado</t>
  </si>
  <si>
    <t>https://www.linkedin.com/in/patriciacasadofdezdecarranza/?originalSubdomain=es</t>
  </si>
  <si>
    <t>Directora Berriup</t>
  </si>
  <si>
    <t>Patricio Hunt</t>
  </si>
  <si>
    <t>https://www.linkedin.com/in/patriciohunt/</t>
  </si>
  <si>
    <t>https://twitter.com/patriciohunt</t>
  </si>
  <si>
    <t>https://intelectium.com/ventures/</t>
  </si>
  <si>
    <t>Managing Partner Intelectium, helped Badi and Colvin raise</t>
  </si>
  <si>
    <t>Pedro Antón</t>
  </si>
  <si>
    <t>https://www.linkedin.com/in/pedro-anton-ned-consejero-cfo/</t>
  </si>
  <si>
    <t>Investor in Landbot</t>
  </si>
  <si>
    <t>Pedro de Álava</t>
  </si>
  <si>
    <t>https://www.linkedin.com/in/pedro-de-%C3%A1lava-2127244/</t>
  </si>
  <si>
    <t>Manager en clave</t>
  </si>
  <si>
    <t>Pedro Trucharte</t>
  </si>
  <si>
    <t>https://www.linkedin.com/in/pedrotrucharte/?originalSubdomain=es</t>
  </si>
  <si>
    <t>https://twitter.com/ptrucharte</t>
  </si>
  <si>
    <t>Junta de AEBAN, director de Desarrollo Corporativo de Ufounders</t>
  </si>
  <si>
    <t>Pere Valles</t>
  </si>
  <si>
    <t>https://www.linkedin.com/in/perevalles/?originalSubdomain=es</t>
  </si>
  <si>
    <t>Partner Smartech, invested in Colvin</t>
  </si>
  <si>
    <t>Pinama</t>
  </si>
  <si>
    <t>https://www.pinama.es/copia-de-participadas-p13</t>
  </si>
  <si>
    <t>Han invertido en Innovamat y Jeff</t>
  </si>
  <si>
    <t>PlugandPlay</t>
  </si>
  <si>
    <t>https://www.plugandplaytechcenter.com/ventures/</t>
  </si>
  <si>
    <t>Entre 50 y 400k</t>
  </si>
  <si>
    <t>Rafael Garrido</t>
  </si>
  <si>
    <t>https://www.linkedin.com/in/rafagarrido/</t>
  </si>
  <si>
    <t>https://twitter.com/rafaelgarrido</t>
  </si>
  <si>
    <t>vitaminak.com</t>
  </si>
  <si>
    <t>Either invests personally or via Vitamina K</t>
  </si>
  <si>
    <t>Ramon Ollé</t>
  </si>
  <si>
    <t>https://www.linkedin.com/in/ramon-oll%C3%A9-346a946/</t>
  </si>
  <si>
    <t>https://wejazz.es/</t>
  </si>
  <si>
    <t>Jefe WeJazz, agencia de branding muy buena</t>
  </si>
  <si>
    <t>Rat Gasol</t>
  </si>
  <si>
    <t>https://www.linkedin.com/in/ratgasol/</t>
  </si>
  <si>
    <t>General manager Capital Cell</t>
  </si>
  <si>
    <t>Raúl B</t>
  </si>
  <si>
    <t>https://www.linkedin.com/in/ragor/</t>
  </si>
  <si>
    <t>Rene de Jong</t>
  </si>
  <si>
    <t>https://es.linkedin.com/in/renedejongspain</t>
  </si>
  <si>
    <t>https://twitter.com/renedejong</t>
  </si>
  <si>
    <t>renedejong.com</t>
  </si>
  <si>
    <t>Very active BA in different industries</t>
  </si>
  <si>
    <t>Reus Capital Partners</t>
  </si>
  <si>
    <t>https://www.reuscapitalpartners.com/criteriosinversion</t>
  </si>
  <si>
    <t>Ticket de 50-300k
Mínimo de 4 meses de tracción que validen el product-maket fit con síntomas claros de una tendencia de crecimiento exponencial.</t>
  </si>
  <si>
    <t>Ricardo Coscollola</t>
  </si>
  <si>
    <t>https://www.linkedin.com/in/ricardo-coscollola-17527711/</t>
  </si>
  <si>
    <t>Partner Nero Ventures</t>
  </si>
  <si>
    <t>Ricardo Fernández Muiños</t>
  </si>
  <si>
    <t>https://www.linkedin.com/in/ricardo-fernandez-muinos/</t>
  </si>
  <si>
    <t>No public track record, invested in Velca, Partner Deloitte</t>
  </si>
  <si>
    <t>Roberto Saint-Malo</t>
  </si>
  <si>
    <t>https://www.linkedin.com/in/robertosaintmalo/</t>
  </si>
  <si>
    <t>https://beta-angels.com/</t>
  </si>
  <si>
    <t>Invested and exited DogBuddy, a marketplace. Don´t know if he does it individually or via BetaAngels</t>
  </si>
  <si>
    <t>Rodolfo Carpintier</t>
  </si>
  <si>
    <t>https://www.linkedin.com/in/rodolfocarpintier/</t>
  </si>
  <si>
    <t>Serial entrepreneur</t>
  </si>
  <si>
    <t>Rodrigo García de la Cruz</t>
  </si>
  <si>
    <t>https://www.linkedin.com/in/rodrigogarciadelacruz/</t>
  </si>
  <si>
    <t>https://twitter.com/rgarciadelacruz</t>
  </si>
  <si>
    <t>Inversor en Fintech</t>
  </si>
  <si>
    <t>Rodrigo Silva-Ramos</t>
  </si>
  <si>
    <t>https://www.linkedin.com/in/rodrigosilvaramos/</t>
  </si>
  <si>
    <t>Investor KFund</t>
  </si>
  <si>
    <t>Rogelio Villalba García</t>
  </si>
  <si>
    <t>https://www.linkedin.com/in/rogeliovillalbagarcia/</t>
  </si>
  <si>
    <t>Relatively active BA, just invested in Hannun</t>
  </si>
  <si>
    <t>Roger Baranera</t>
  </si>
  <si>
    <t>https://www.linkedin.com/in/rogerbaranera/</t>
  </si>
  <si>
    <t>https://twitter.com/RogerBaranera</t>
  </si>
  <si>
    <t>Investor NexusClips</t>
  </si>
  <si>
    <t>Roger Miralles</t>
  </si>
  <si>
    <t>https://www.linkedin.com/in/rogermiralles/</t>
  </si>
  <si>
    <t>Roman Bertran Viñas</t>
  </si>
  <si>
    <t>https://www.linkedin.com/in/roman-bertran-vi%C3%B1as-ab485a1b/</t>
  </si>
  <si>
    <t>BA investor, no track record</t>
  </si>
  <si>
    <t>Rubén Ferreiro</t>
  </si>
  <si>
    <t>https://www.linkedin.com/in/rubenferreiro/</t>
  </si>
  <si>
    <t>https://twitter.com/rubenferreiro</t>
  </si>
  <si>
    <t>Seed Rocket Mentor, LANAI.</t>
  </si>
  <si>
    <t>Sabadell Venture Capital</t>
  </si>
  <si>
    <t>https://sabadellventurecapital.com/vc-01-es.html</t>
  </si>
  <si>
    <t>Sacha Fuentes</t>
  </si>
  <si>
    <t>https://www.linkedin.com/in/madelman/</t>
  </si>
  <si>
    <t>Founder Offerum y TopWorkSheets, mentor SeedRocket</t>
  </si>
  <si>
    <t>Sandra Navarri</t>
  </si>
  <si>
    <t>https://www.linkedin.com/in/sandra-navarro-9b8242160/</t>
  </si>
  <si>
    <t>Investing in Tech companies (mainly Fintech, Bio and Digital Health), mainly pre-seed and seed. We are not a target industry</t>
  </si>
  <si>
    <t>Santiago Bernal Piñeiro</t>
  </si>
  <si>
    <t>https://www.linkedin.com/in/santibernal/</t>
  </si>
  <si>
    <t>BA in Core Angels, focused in agro tech</t>
  </si>
  <si>
    <t>Sebastien Chartier</t>
  </si>
  <si>
    <t>https://www.linkedin.com/in/sebchartier/</t>
  </si>
  <si>
    <t>tulechoaltecho.com</t>
  </si>
  <si>
    <t>Sergi Vila</t>
  </si>
  <si>
    <t>https://www.linkedin.com/in/sergi-vila-costa-825872108/</t>
  </si>
  <si>
    <t>https://bcombinator.com/es/fondo-inversion#contacto</t>
  </si>
  <si>
    <t>BCombinator</t>
  </si>
  <si>
    <t>Sergio Balcells</t>
  </si>
  <si>
    <t>https://www.linkedin.com/in/sergiobalcellsm/</t>
  </si>
  <si>
    <t>Manager Schibsted and Milanuncios</t>
  </si>
  <si>
    <t>Sergio Cortes Abad</t>
  </si>
  <si>
    <t>https://www.linkedin.com/in/sergiocortesabad/</t>
  </si>
  <si>
    <t>https://twitter.com/SergioCortes</t>
  </si>
  <si>
    <t>http://www.sergiocortes.es</t>
  </si>
  <si>
    <t>Mentor Seed Rocket, Investor en Tuvalum</t>
  </si>
  <si>
    <t>Sevenzonic Ventures</t>
  </si>
  <si>
    <t>https://sevenzonic.com/queremos-tu-proyecto/</t>
  </si>
  <si>
    <t>Con base tecnológica e innovadora
Con, al menos, 2 años de track record
Un negocio sostenible y escalable en el tiempo
Con un equipo gestor sólido y apasionado</t>
  </si>
  <si>
    <t>Silvia Carné</t>
  </si>
  <si>
    <t>https://www.linkedin.com/in/silviacarnemasllorens/</t>
  </si>
  <si>
    <t>Especialista en legal, invierte con WeRock y a título personal</t>
  </si>
  <si>
    <t>Sitka Capital</t>
  </si>
  <si>
    <t>https://sitkacapital.com/</t>
  </si>
  <si>
    <t>Hasta 100k de ticket, red de BA</t>
  </si>
  <si>
    <t>Sixto Arias</t>
  </si>
  <si>
    <t>https://www.linkedin.com/in/sixto/</t>
  </si>
  <si>
    <t>https://twitter.com/SixtoArias</t>
  </si>
  <si>
    <t>Focused on AI and ML, presi Talentclass</t>
  </si>
  <si>
    <t>Smartech Capital</t>
  </si>
  <si>
    <t>http://www.smartechcapital.com/</t>
  </si>
  <si>
    <t>Have to show some traction before contacting them. Modelos B2B o B2C cuya ventaja competitiva resida en la tecnología. Siempre co invierten con fondos más grandes
50-150k ticket</t>
  </si>
  <si>
    <t>Startupxplore</t>
  </si>
  <si>
    <t>https://twitter.com/Startupxplore</t>
  </si>
  <si>
    <t>https://startupxplore.com/es</t>
  </si>
  <si>
    <t>Crowdequity platform</t>
  </si>
  <si>
    <t>Steven Zitzer</t>
  </si>
  <si>
    <t>https://www.linkedin.com/in/steven-zitzer-319901/</t>
  </si>
  <si>
    <t>Private investor in financial services (particularly fintech), consumer goods and tech</t>
  </si>
  <si>
    <t>Swaan Lab</t>
  </si>
  <si>
    <t>https://swanlaab.com/es/criterios-de-inversion/</t>
  </si>
  <si>
    <t>Focus on B2B, but you never know in the future
Series A or B</t>
  </si>
  <si>
    <t>Telmo Pérez Luaces</t>
  </si>
  <si>
    <t>https://www.linkedin.com/in/telmo-perez-luaces/</t>
  </si>
  <si>
    <t>Board Member at Encomenda</t>
  </si>
  <si>
    <t>Teresa Dominguez</t>
  </si>
  <si>
    <t>https://www.linkedin.com/in/teresa-dominguez-/</t>
  </si>
  <si>
    <t>Member of COREangels</t>
  </si>
  <si>
    <t>ThCap</t>
  </si>
  <si>
    <t>http://www.thcap.com/</t>
  </si>
  <si>
    <t>Obsessed Teams: We invest in entrepreneurs obsessed with solving big problems. Founders, who will change existing industries or create new ones through their vision and execution. Seed and follow-on rounds. Preference for products that have been in the market for a few months and demonstrate sticky customers and competitive advantage.</t>
  </si>
  <si>
    <t>The Venture City</t>
  </si>
  <si>
    <t>https://theventure.city/es/primer-ticket/</t>
  </si>
  <si>
    <t>Estamos buscando fundadores con mentalidad global y una misión clara que estén construyendo empresas de software en HealthTech, FinTech, Movilidad, Logística y Ciberseguridad.
Product Led Growth</t>
  </si>
  <si>
    <t>Tom Horsey</t>
  </si>
  <si>
    <t>https://www.linkedin.com/in/tomhorsey/</t>
  </si>
  <si>
    <t>https://www.elespanol.com/invertia/disruptores-innovadores/opinion/20210520/tom-horsey-michael-robinson-angels-ultima-milla/582571738_13.html</t>
  </si>
  <si>
    <t xml:space="preserve">Uno de los BA mas activos, specialized in Marketing </t>
  </si>
  <si>
    <t>Tomás Diago</t>
  </si>
  <si>
    <t>https://www.linkedin.com/in/tdiago/?originalSubdomain=es</t>
  </si>
  <si>
    <t>https://twitter.com/tomasdiago</t>
  </si>
  <si>
    <t>Investor Uvinum</t>
  </si>
  <si>
    <t>Tomás Guillén</t>
  </si>
  <si>
    <t>https://www.linkedin.com/in/tomasguillenifedes/</t>
  </si>
  <si>
    <t>https://twitter.com/_tomasguillen</t>
  </si>
  <si>
    <t>Presi BigBAN hasta 2017, not active</t>
  </si>
  <si>
    <t>Tomás Mendo Huete</t>
  </si>
  <si>
    <t>https://www.linkedin.com/in/tomasmendo/</t>
  </si>
  <si>
    <t>Top5Partners</t>
  </si>
  <si>
    <t>https://top5partners.com/</t>
  </si>
  <si>
    <t>Coinvierten en fases seed, pledge fund
Con una antigüedad entre 1 y 3 años
Valoración pre-money inferior a los 3 Millones de Euros</t>
  </si>
  <si>
    <t>Toubkal Partners</t>
  </si>
  <si>
    <t>https://www.toubkalpartners.com/quienes-somos.html</t>
  </si>
  <si>
    <t>Turtle Capital</t>
  </si>
  <si>
    <t>https://turtle-capital.com/#aboutus</t>
  </si>
  <si>
    <t>Buscamos compañías con modelos de negocio reales, equipos experimentados y que sean escalables.</t>
  </si>
  <si>
    <t>VAS Ventures</t>
  </si>
  <si>
    <t xml:space="preserve">https://vas.ventures/ </t>
  </si>
  <si>
    <t>Minimum 1M round</t>
  </si>
  <si>
    <t>Vermú</t>
  </si>
  <si>
    <t>https://www.linkedin.com/company/verm%C3%BA</t>
  </si>
  <si>
    <t>https://twitter.com/vermuio</t>
  </si>
  <si>
    <t>https://vermu.io</t>
  </si>
  <si>
    <t>hola@vermu.io</t>
  </si>
  <si>
    <t>Newsletter para publicar tu ronda, muy buena oportunidad para captar fondos</t>
  </si>
  <si>
    <t>Vicente Arias</t>
  </si>
  <si>
    <t>https://www.linkedin.com/in/vicentearias/</t>
  </si>
  <si>
    <t>twitter.com/vicentearias</t>
  </si>
  <si>
    <t>CEO Coverfy, no track record besides being seed rocket mentor</t>
  </si>
  <si>
    <t>Vicente Montesinos</t>
  </si>
  <si>
    <t>https://www.linkedin.com/in/vicente-montesinos-8a5a94/</t>
  </si>
  <si>
    <t>Experience in FMGC</t>
  </si>
  <si>
    <t>Victoria Majadas Morales</t>
  </si>
  <si>
    <t>https://www.linkedin.com/in/victoria-majadas-morales-2179b74/?originalSubdomain=es</t>
  </si>
  <si>
    <t>Presidenta Big BAN</t>
  </si>
  <si>
    <t>Vincent Klug</t>
  </si>
  <si>
    <t>https://www.linkedin.com/in/vincent-klug-20b2aa90/</t>
  </si>
  <si>
    <t>Vincent Rosso</t>
  </si>
  <si>
    <t>https://es.linkedin.com/in/vincentrosso</t>
  </si>
  <si>
    <t>https://twitter.com/vincentjj</t>
  </si>
  <si>
    <t>Co-Founder blablacar</t>
  </si>
  <si>
    <t>Walter Kobylanski</t>
  </si>
  <si>
    <t>https://www.linkedin.com/in/kobylanski/</t>
  </si>
  <si>
    <t>https://twitter.com/walterk</t>
  </si>
  <si>
    <t>Co-founder SeedTag</t>
  </si>
  <si>
    <t>Xabier Rubiralta</t>
  </si>
  <si>
    <t>https://www.linkedin.com/in/xavier-rubiralta-1b753a5/?miniProfileUrn=urn%3Ali%3Afs_miniProfile%3AACoAAAD4A5sBpSTmgiCfLq7z_pNI7JbJ5MTc1Vo</t>
  </si>
  <si>
    <t>Seems to be focused on MedTech</t>
  </si>
  <si>
    <t>Xavier Durall Tremoleda</t>
  </si>
  <si>
    <t>https://www.linkedin.com/in/xavier-durall/</t>
  </si>
  <si>
    <t>Xavier Pladellorens</t>
  </si>
  <si>
    <t>https://www.linkedin.com/in/xavierpladellorens/</t>
  </si>
  <si>
    <t>Yago Arbeloa</t>
  </si>
  <si>
    <t>https://es.linkedin.com/in/yago-arbeloa-2448623</t>
  </si>
  <si>
    <t>https://twitter.com/YagoArbeloa</t>
  </si>
  <si>
    <t>https://www.viriditas.es/</t>
  </si>
  <si>
    <t>Invests via Viriditas, 50-150k ticket</t>
  </si>
  <si>
    <t>Zaryn Dentzel</t>
  </si>
  <si>
    <t>https://www.linkedin.com/in/zaryn/</t>
  </si>
  <si>
    <t>https://twitter.com/zaryn</t>
  </si>
  <si>
    <t>Co-founder Tuenti</t>
  </si>
  <si>
    <t xml:space="preserve">LinkedIn </t>
  </si>
  <si>
    <t>https://www.linkedin.com/in/blairmaclaren/</t>
  </si>
  <si>
    <t>España, Portugal, Francia, Reino Unido, Irlanda</t>
  </si>
  <si>
    <t>+34 91 451 70 70</t>
  </si>
  <si>
    <t>https://es.linkedin.com/in/albertogomezarreaza/https://es.linkedin.com/in/alberto-echeverri</t>
  </si>
  <si>
    <t>https://www.linkedin.com/in/davidblumberg/https://www.linkedin.com/in/alonlifshitz/</t>
  </si>
  <si>
    <t>Frankfurt am Main (Alemania)</t>
  </si>
  <si>
    <t>https://es.linkedin.com/company/bullnet-capital?utm_source=chatgpt.com</t>
  </si>
  <si>
    <t>Tecnología Plataformas digitales Fintech Marketplaces</t>
  </si>
  <si>
    <r>
      <t xml:space="preserve">Cabiedes no atiende contacto directo. El acceso se realiza mediante presentación de fundadores de empresas de su portfolio como </t>
    </r>
    <r>
      <rPr>
        <b/>
        <sz val="10"/>
        <rFont val="Arial"/>
        <family val="2"/>
      </rPr>
      <t>Indexa Capital</t>
    </r>
    <r>
      <rPr>
        <sz val="10"/>
        <rFont val="Arial"/>
        <family val="2"/>
      </rPr>
      <t xml:space="preserve">, </t>
    </r>
    <r>
      <rPr>
        <b/>
        <sz val="10"/>
        <rFont val="Arial"/>
        <family val="2"/>
      </rPr>
      <t>Hamelyn</t>
    </r>
    <r>
      <rPr>
        <sz val="10"/>
        <rFont val="Arial"/>
        <family val="2"/>
      </rPr>
      <t xml:space="preserve"> o </t>
    </r>
    <r>
      <rPr>
        <b/>
        <sz val="10"/>
        <rFont val="Arial"/>
        <family val="2"/>
      </rPr>
      <t>Next Station</t>
    </r>
    <r>
      <rPr>
        <sz val="10"/>
        <rFont val="Arial"/>
        <family val="2"/>
      </rPr>
      <t>.</t>
    </r>
  </si>
  <si>
    <t>https://ch.linkedin.com/in/cedrickoehler</t>
  </si>
  <si>
    <t>https://www.linkedin.com/company/intel-capital/</t>
  </si>
  <si>
    <t>https://www.linkedin.com/in/pedrotrucharte/</t>
  </si>
  <si>
    <t>https://www.linkedin.com/company/najeti/</t>
  </si>
  <si>
    <t>https://il.linkedin.com/in/david-heller-28b28288</t>
  </si>
  <si>
    <t>https://www.linkedin.com/company/warburg-pincus-llc/</t>
  </si>
  <si>
    <t xml:space="preserve">Web </t>
  </si>
  <si>
    <t xml:space="preserve">TEL Adicional </t>
  </si>
  <si>
    <t>www.torreal.com</t>
  </si>
  <si>
    <t>ediaz@cgrande.com</t>
  </si>
  <si>
    <t>Calle Rafael Calvo 39, 28010 Madrid</t>
  </si>
  <si>
    <t>+34 913 191 020</t>
  </si>
  <si>
    <t>(+52) 55 5081 1010</t>
  </si>
  <si>
    <t>tgarcia@finaccess.com.mx / agarcia@finaccess.com.mx / comentarios@finaccess.com.mx</t>
  </si>
  <si>
    <t>Av. Homero 1500 - Piso 202, Colonia Polanco Los Morales, Miguel Hidalgo, CDMX 11540</t>
  </si>
  <si>
    <t>www.finaccess.com.mx</t>
  </si>
  <si>
    <r>
      <t>Fábio de Rezende Barbosa</t>
    </r>
    <r>
      <rPr>
        <sz val="10"/>
        <rFont val="Arial"/>
        <family val="2"/>
      </rPr>
      <t xml:space="preserve"> - CEO NovAmérica, Fundador Lambarin</t>
    </r>
  </si>
  <si>
    <t>(+55) 11 3372 4400</t>
  </si>
  <si>
    <t>Av. Pedroso de Morais 251, 7º piso, Pinheiros, 05419-000 São Paulo (Brasil)</t>
  </si>
  <si>
    <t>Inicial - Novamerica</t>
  </si>
  <si>
    <t>Manel Cerqueda Donadeu (Presidente)</t>
  </si>
  <si>
    <t>C/ Manuel Cerqueda i Escaler 3-5, 4ª planta, AD700 Escaldes-Engordany (Andorra</t>
  </si>
  <si>
    <t>Francesco Marzano Bosch (Presidente Ejecutivo)</t>
  </si>
  <si>
    <t>(+502) 2377-2700</t>
  </si>
  <si>
    <t>5a. Avenida 15-45, Zona 10, Edif. Centro Empresarial, Torre 1, Nivel 9, Guatemala Ciudad</t>
  </si>
  <si>
    <t>Contact – Losa Group</t>
  </si>
  <si>
    <t>(4) Losa Group: Resumen | LinkedIn</t>
  </si>
  <si>
    <t>Héctor Fabián Gómez-Sainz (Representante familiar)</t>
  </si>
  <si>
    <t>(+34) 91 661 14 00</t>
  </si>
  <si>
    <t>hidafasa@infonegocio.com</t>
  </si>
  <si>
    <t>C/ Anabel Segura 16, 1º Izq., 28108 Alcobendas, Madrid</t>
  </si>
  <si>
    <t>Rue du Rhône 14, 1204 Genève (Suiza)</t>
  </si>
  <si>
    <t>(+34) 947 288 100</t>
  </si>
  <si>
    <t>C/ Alcalde Martín Cobos 16A, 09007 Burgos</t>
  </si>
  <si>
    <t>Contacto con Nicolás Correa Fresadoras</t>
  </si>
  <si>
    <t>Via Augusta 200, 08021 Barcelona</t>
  </si>
  <si>
    <t>Miguel Heras/Stanley Motta(presidenta)</t>
  </si>
  <si>
    <t>(+507) 303-3333</t>
  </si>
  <si>
    <t>Torre Este, Piso 6, Costa del Este Business Park, Ciudad de Panamá</t>
  </si>
  <si>
    <t>Inicio - Inversiones Bahía</t>
  </si>
  <si>
    <t>(7) Startupxplore: Resumen | LinkedIn</t>
  </si>
  <si>
    <t>Fernando Masaveu Herrero (Presidente) y Victor Rosa</t>
  </si>
  <si>
    <t>(+34) 98 598 91 00</t>
  </si>
  <si>
    <t>administracion@grma.masaveu.com</t>
  </si>
  <si>
    <t>C/ Cimadevilla 8, 33003 Oviedo (Asturias)</t>
  </si>
  <si>
    <t>Felipa Jove Santos (Presidenta) y Santiago Prieto</t>
  </si>
  <si>
    <t>info@inveravante.com</t>
  </si>
  <si>
    <t>Avda. Linares Rivas 4, Bajo, 15005 A Coruña</t>
  </si>
  <si>
    <t>https://www.inveravante.com/#:~:text=OFICINAS%20CENTRALES%3A</t>
  </si>
  <si>
    <r>
      <rPr>
        <i/>
        <sz val="10"/>
        <color rgb="FF000000"/>
        <rFont val="Arial"/>
      </rPr>
      <t>Familia Fernández Fermoselle</t>
    </r>
    <r>
      <rPr>
        <sz val="10"/>
        <color rgb="FF000000"/>
        <rFont val="Arial"/>
      </rPr>
      <t xml:space="preserve"> (Propietarios) y Alvaro sobrino</t>
    </r>
  </si>
  <si>
    <t>info@naropa.es</t>
  </si>
  <si>
    <t>C/ Rosas de Aravaca 31, 1º, 28023 Madrid</t>
  </si>
  <si>
    <t>Pº de Eduardo Dato 18, 1ª Planta, 28010 Madrid</t>
  </si>
  <si>
    <t>https://www.privateequityinternational.com/institution-profiles/omega-gesti%C3%B3n.html#:~:text=https%3A//www.omegagestion.com/en/</t>
  </si>
  <si>
    <t>Alicia Koplowitz (Presidenta)(+34) 91 702 79 90</t>
  </si>
  <si>
    <t>Jose Leyte(director)Sandra Ortega Mera (Presidenta)</t>
  </si>
  <si>
    <t>(+34) 98 120 58 81</t>
  </si>
  <si>
    <t>Plaza de María Pita 17, 15001 A Coruña</t>
  </si>
  <si>
    <t>C/ Gobelas 25-27, 28023 Madrid</t>
  </si>
  <si>
    <t>https://www.elenebro.com/#:~:text=Conforme%20a%20lo%20dispuesto%20en,individual%20a%20todos%20los%20accionistas</t>
  </si>
  <si>
    <t>(+34) 98 118 53 44</t>
  </si>
  <si>
    <t>Av. de la Diputación s/n, 15142 Arteixo (A Coruña)</t>
  </si>
  <si>
    <t>https://www.cnmv.es/webservices/verdocumento/ver?e=80uaqoOMxt5g31S7qkZCE7ojc5caDaczWitwUsYwRmRQSRh0dt1K2vXNhAR3mLSV#:~:text=%5BPDF%5D%20pontegadea%20inversiones%2C%20sl.%20,Mercantil%20de%20La%20Coru%C3%B1a</t>
  </si>
  <si>
    <t>Av. de Europa 10, 28108 Alcobendas, Madrid</t>
  </si>
  <si>
    <t>communications@mcapitalp.com</t>
  </si>
  <si>
    <t>https://www.mcapitalp.com/contact/#:~:text=,mail%3A%20communications%40mcapitalp.com</t>
  </si>
  <si>
    <t>(+356) 2779 5500</t>
  </si>
  <si>
    <t>PERSONA DE CONTACTO</t>
  </si>
  <si>
    <t xml:space="preserve">CARGO </t>
  </si>
  <si>
    <t>CORREO</t>
  </si>
  <si>
    <t>Miguel Giménez de Córdoba</t>
  </si>
  <si>
    <t>Director</t>
  </si>
  <si>
    <t>miguel.g.cordoba@oquendocapital.com</t>
  </si>
  <si>
    <t xml:space="preserve">+34 91 290 01 53 </t>
  </si>
  <si>
    <t>Deuda privada, crédito alternativo mid‑market, real assets (infraestructura, renovables, real estate)</t>
  </si>
  <si>
    <t>No encontrado</t>
  </si>
  <si>
    <t>€20M y €100M.</t>
  </si>
  <si>
    <t>Andrew Newton</t>
  </si>
  <si>
    <t>Founder &amp; Managing Partner (email no pública)</t>
  </si>
  <si>
    <t>info@incuscapital.com</t>
  </si>
  <si>
    <t>+34 91 282 11 40</t>
  </si>
  <si>
    <t>EBITDA entre €5 – €25 M</t>
  </si>
  <si>
    <t>€10 M y €50 M+</t>
  </si>
  <si>
    <t>Rafael Ximenez de Embun Monjardin</t>
  </si>
  <si>
    <t>(Investor relations / New business)</t>
  </si>
  <si>
    <t>rximenezdeembun@muzinich.com</t>
  </si>
  <si>
    <t>34 91 084 8895</t>
  </si>
  <si>
    <t>€12 M ‑ €98 M por operación (con capacidad de estructurar operaciones hasta ~€122 M según vehículo)</t>
  </si>
  <si>
    <t>Guillermo Ferre Ibañez</t>
  </si>
  <si>
    <t>Head Spain &amp; Italy</t>
  </si>
  <si>
    <t>guillermo.ferre@kartesia.com</t>
  </si>
  <si>
    <t>+34 911 237 585</t>
  </si>
  <si>
    <t>~€12 M ‑ €98 M por deal (capacidad aún mayor)</t>
  </si>
  <si>
    <t>Amparo Nieto Linares</t>
  </si>
  <si>
    <t>Atención al Cliente</t>
  </si>
  <si>
    <t>atencionclientetreaam@treaam.com</t>
  </si>
  <si>
    <t>+34 93 467 55 10</t>
  </si>
  <si>
    <t>~€20M – €100M de EBITDA orientativo</t>
  </si>
  <si>
    <t>~€23M – €28M promedio en direct lending; capacidades para &gt;€100M+</t>
  </si>
  <si>
    <t>Louis Igonet</t>
  </si>
  <si>
    <t>(Investor relations)</t>
  </si>
  <si>
    <t>shareholders@tikehaucapital.com</t>
  </si>
  <si>
    <t>+33 1 53 59 05 00</t>
  </si>
  <si>
    <t>No econtrado</t>
  </si>
  <si>
    <t>€10M + (posiblemente hasta decenas de millones según transacción)</t>
  </si>
  <si>
    <t>info@metric-capital.com</t>
  </si>
  <si>
    <t>+34 626 062 480</t>
  </si>
  <si>
    <t>€10M – €100M.</t>
  </si>
  <si>
    <t>€30M – €100M+</t>
  </si>
  <si>
    <t>Leticia Ruenes</t>
  </si>
  <si>
    <t>Head of Spain</t>
  </si>
  <si>
    <t>leticia.ruenes@pembertonam.com</t>
  </si>
  <si>
    <t>+34 617 946 970 (móvil)</t>
  </si>
  <si>
    <t>€20 M – €150 M por inversión/deuda estructurada, enfocando en empresas con valor de empresa intermedio (€100 M–€500 M EV).</t>
  </si>
  <si>
    <t>lgt.cp@lgtcp.com</t>
  </si>
  <si>
    <t>+41 55 415 96 00</t>
  </si>
  <si>
    <t>No hay un rango claro de tamaño de empresa objetivo porque invierte en títulos de deuda corporativa y soberana más que préstamos directos a compañías específicas.</t>
  </si>
  <si>
    <t>No se aplica en el sentido de debt deal size de private debt; opera en mercados de bonos y valores de crédito líquido.</t>
  </si>
  <si>
    <t>Borja Mateo Villa</t>
  </si>
  <si>
    <t>Senior Director, Business Development Iberia</t>
  </si>
  <si>
    <t>bmateo@bluebay.com</t>
  </si>
  <si>
    <t>+34 669 370 374</t>
  </si>
  <si>
    <t>€3 M – €15 M por inversión, con plazos de 5‑7 años.</t>
  </si>
  <si>
    <t>Adriana Oller</t>
  </si>
  <si>
    <t>Partner &amp; Co-Founder</t>
  </si>
  <si>
    <t>contact_us@resiliencepart.com</t>
  </si>
  <si>
    <t>+34 626 084 351</t>
  </si>
  <si>
    <t>~€250 M por inversión (unitranche / mezzanine)</t>
  </si>
  <si>
    <t>contact@capzanine.com</t>
  </si>
  <si>
    <t>+34 917 81 95 12</t>
  </si>
  <si>
    <t>Empresas medianas / mid‑market</t>
  </si>
  <si>
    <t>€15 M – €50 M por operación, con capacidad de hasta ~€100 M con co‑inversiones.</t>
  </si>
  <si>
    <t>investors@threehills.com</t>
  </si>
  <si>
    <t>+44 (0)20 3056 9540</t>
  </si>
  <si>
    <t>no encontrado</t>
  </si>
  <si>
    <t>info@dupontcapitalltd.com</t>
  </si>
  <si>
    <t>+44 20 3885 9155</t>
  </si>
  <si>
    <t>Plataforma de lending / crédito alternativo para PYMEs</t>
  </si>
  <si>
    <t>€250 000 de facturación anual y capacidad de repago demostrada</t>
  </si>
  <si>
    <t>París, Francia</t>
  </si>
  <si>
    <t>A traves de formulario en su Web</t>
  </si>
  <si>
    <t>https://october.eu/</t>
  </si>
  <si>
    <t>web</t>
  </si>
  <si>
    <t>Venture Capital &amp; Angel syndicate con sede en Madrid (España)</t>
  </si>
  <si>
    <t>@15kangels</t>
  </si>
  <si>
    <t>info@15kangels.com</t>
  </si>
  <si>
    <t>Grupo de business angels que invierten en startups españolas en fase semilla.</t>
  </si>
  <si>
    <t>WAISENSE, WayBizz, DNActive, NOYSI, Roams, iCommunity Labs y otras startups en fase semilla / early-stage</t>
  </si>
  <si>
    <t>Fondo orientado a smart capital semilla, con apoyo operativo continuo y pequeñas inversiones (~50‑100K€) en startups tecnológicas.</t>
  </si>
  <si>
    <t>Venture Capital tecnológico español con múltiples fondos (I, II y III)</t>
  </si>
  <si>
    <t>info@4founderscapital.com</t>
  </si>
  <si>
    <t>Cofers, ShowMe, Steryon, Altan, Punto Post, Holded, Embat</t>
  </si>
  <si>
    <t>Fondo activo en España con más de 100M€ bajo gestión; foco en tecnología B2B, fintech, traveltech, SaaS e IA; invierte desde pre-seed hasta Series A+.</t>
  </si>
  <si>
    <t>Aceleradora y club de inversores</t>
  </si>
  <si>
    <t>info@accelgrow.com</t>
  </si>
  <si>
    <t>Kibus Petcare, Dinbeat (participación en rondas)</t>
  </si>
  <si>
    <t>Actúa como facilitador y networking, conectando emprendedores con más de 500 startups y ~200 inversores; impulsa hubs de innovación y comunidad tech.</t>
  </si>
  <si>
    <t>Venture Capital corporativo (Mediaset Group) con modelo Media-for-Equity</t>
  </si>
  <si>
    <t>info@ad4ventures.com</t>
  </si>
  <si>
    <t>Satispay, Burnhard, Therapyside, Refurbed, ByHours, Westwing, Taxdown</t>
  </si>
  <si>
    <t>Combina publicidad a cambio de equity para potenciar crecimiento rápido; foco en empresas de consumo digital, fintech y servicios online con potencial de scaling.</t>
  </si>
  <si>
    <t>Co‑fundador &amp; Managing Partner en Base10 Partners (VC)</t>
  </si>
  <si>
    <t>No publicado públicamente</t>
  </si>
  <si>
    <t>Inversiones en empresas tecnológicas y startups globales como Cabify (founding investor), Job&amp;Talent, Instacart, Nubank, Figma, Rappi, ShipBob, DocSend, y otras ~33 startups (Seed / early‑stage)</t>
  </si>
  <si>
    <t>Emprendedor e inversor global; cofundador de Tuenti y Identified; lidera Base10 con foco en tecnología, IA y automatización.</t>
  </si>
  <si>
    <t>Inversora / Ecosystem Builder / GP en Deepgreen Impact Ventures; rol anterior en innovación y relaciones de inversión</t>
  </si>
  <si>
    <t>No informacion</t>
  </si>
  <si>
    <t>Profesional con background en telecomunicaciones, gestión de ecosistemas y startups; fundadora de Muster VC y activa en comunidad tech como mentor y board advisor.</t>
  </si>
  <si>
    <t>Sociedad de gestión de derechos de propiedad intelectual</t>
  </si>
  <si>
    <t>AIE es una entidad de gestión colectiva de derechos (por ejemplo en Paraguay, Colombia, etc.) y no ofrece portafolio de startups como un fondo de inversión.</t>
  </si>
  <si>
    <t>Fondo/inversor (histórico en España)</t>
  </si>
  <si>
    <t>Alantis Capital fue un vehículo de venture capital que lideró rondas e invirtió en startups como BrainSINS y tenía cartera activa en tech y digital</t>
  </si>
  <si>
    <t>Firma histórica de VC (no muy activa recientemente públicamente) con participaciones en empresas tecnológicas y servicios digitales; su portafolio completo no está estandarizado ni actualizado en bases públicas recientes.</t>
  </si>
  <si>
    <t>Angel Investor / Emprendedor (Barcelona, España)</t>
  </si>
  <si>
    <t>Ha invertido en startups como 3scale, ClinicPoint, Habitissimo, Mybrana, Nautal, Uvinum, Valeet, Woffu</t>
  </si>
  <si>
    <t>Cofundador de ClinicPoint, CEO de Doctoralia y cofundador de e‑Conozco; uno de los business angels más activos de España en SaaS, salud digital y servicios online con numerosas co‑inversiones.</t>
  </si>
  <si>
    <t>Business Angel / Facilitador de inversión (Cataluña)</t>
  </si>
  <si>
    <t>Figura clave del ecosistema inversor europeo: fundó la Business Angels Network de Catalunya (BANC) y promovió redes de inversión privadas; reconocido como uno de los inversores visionarios en Europa</t>
  </si>
  <si>
    <t>Inversor / Angel (España)</t>
  </si>
  <si>
    <t>Emprendedor / Cofundador</t>
  </si>
  <si>
    <t>Más conocido por su actividad emprendedora que por rol de inversor; su difusión principal está ligada a la creación de empresas tecnológicas como Rocket ROI.</t>
  </si>
  <si>
    <t>Business Angel / CEO &amp; fundador de Link To Media</t>
  </si>
  <si>
    <t>Inversiones en startups como Emagister, Trovit, Habitissimo, Deporvillage, Marmota, entre otras; también ha sido asesor en Credimarket y Wallapop.</t>
  </si>
  <si>
    <t>Emprendedor con experiencia en SEO, desarrollo de negocio online y mentor en empresas tecnológicas; fundador de Link To Media con una red que supera los 60M de usuarios mensuales.</t>
  </si>
  <si>
    <t>Business Angel / Emprendedor tecnológico</t>
  </si>
  <si>
    <t>alberto@geltapp.com</t>
  </si>
  <si>
    <t>Ha fundado y vendido múltiples startups como Mobile Dreams, Del Súper, Gelt, Mediasmart, Moviplans; invierte en seed y early stage, incluyendo compañías como BrandRiders, Buffer España, Gelt Spain, MediaSmart Mobile.</t>
  </si>
  <si>
    <t>Empresario en serie con amplia carrera en tecnología, mobile marketing y digital; profesor en IE Business School y mentor en el ecosistema emprendedor.</t>
  </si>
  <si>
    <t>Inversor / Emprendedor digital</t>
  </si>
  <si>
    <t>contact@albertoknapp.com</t>
  </si>
  <si>
    <t>Inversiones en startups como Iwannagothere, Sindelantal, Stop&amp;Walk, Mumumio, Deporvillage, Mimaleta y otras participaciones como mentor/inversor a través de aceleradoras.</t>
  </si>
  <si>
    <t>Fundador de The Cocktail (consultora digital adquirida por WPP), profesor en IE Business School, mentor en SeedRocket, Wayra y socio/asesor en Seaya Ventures.</t>
  </si>
  <si>
    <t>Emprendedor / Business Angel / Fundador de Ánima Ventures</t>
  </si>
  <si>
    <t>NO encontrado</t>
  </si>
  <si>
    <t>Socio fundador y presidente de Ánima Ventures (company builder con enfoque en impacto social); ha desarrollado iniciativas tanto de emprendimiento social como inversión en startups de impacto.</t>
  </si>
  <si>
    <t>Empresario &amp; Business Angel</t>
  </si>
  <si>
    <t>Empresario en el sector de medios y tecnología; CEO del grupo de comunicación Merca2 y presidente de la Fundación Marqués de Oliva; ha participado como inversor / mentor en múltiples compañías y redes del ecosistema internet.</t>
  </si>
  <si>
    <t>Emprendedor con larga trayectoria en tecnología, fundador de Ocio Networks y medios digitales; fue vicepresidente de la Asociación de Inversores y Emprendedores de Internet (AIEI).</t>
  </si>
  <si>
    <t>Emprendedor &amp; Inversor (Business Angel</t>
  </si>
  <si>
    <t>alex@bki.es</t>
  </si>
  <si>
    <t>Más de 20 inversiones en startups como Devengo, Maichinery, ReadyMe, Pamipe, Kabaz, Badi, Coverfy, Cabify, Mailtrack</t>
  </si>
  <si>
    <t>Cofundador de compañías como Vozelia, Datos101, Redexia y Comunica; invierte en tecnología B2B y modelos con tracción validada.</t>
  </si>
  <si>
    <t>Emprendedor &amp; Inversor (Business Angel)</t>
  </si>
  <si>
    <t>dantart@gmail.com</t>
  </si>
  <si>
    <t>Ha invertido en más de 45 startups incluyendo Chronobook, Klikin, MedioMinuto, Netplay, Olapic, Uptimiza y otras tecnológicas.</t>
  </si>
  <si>
    <t>Cofundador de múltiples proyectos como RoXperience, Araban y activo como mentor; valora el equipo y MVP como criterios clave.</t>
  </si>
  <si>
    <t>Emprendedor &amp; Business Angel</t>
  </si>
  <si>
    <t>alex@marsbased.com</t>
  </si>
  <si>
    <t>nversiones en más de 20 startups como Orain, Kubbo, StockAgile, Consentio, Mailtrack, Hireflix, UpStock, Kantox, Bevy, Globatalent, MyHair, Rimbo y otras.</t>
  </si>
  <si>
    <t>CEO y fundador de MarsBased (desarrollo de software) y activo en comunidad de startups en Barcelona.</t>
  </si>
  <si>
    <t>Business Angel &amp; Mentor</t>
  </si>
  <si>
    <t>andoni@alfaropartners.com</t>
  </si>
  <si>
    <t>Ha invertido en startups como ByHours, Suop, Reclamador, Cocunat, Uolala, VIDA, Triavip, Yotbee, ChineSpain, Fabulist y otras.</t>
  </si>
  <si>
    <t>Inversor activo desde 2012 a través de vehículos como Alfaro &amp; Partners y cofundador de grupos de inversión compartida como G8 Investment</t>
  </si>
  <si>
    <t>Business Angel internacional</t>
  </si>
  <si>
    <t>andreas@mihalovits.com</t>
  </si>
  <si>
    <t>Más de 70 inversiones en startups como Lola Market, Demium, Citibox, Jeff, BNext, PLDSpace, Footters, Urbanitae, Gamestry, OrbitalAds, Gudog, Tucksters, Froged, entre otras.</t>
  </si>
  <si>
    <t>Fundador de Marbella Tech Angels y Global Super Angels Club; uno de los angels más activos en España y Europa</t>
  </si>
  <si>
    <t>Business Angel &amp; Emprendedor</t>
  </si>
  <si>
    <t>andres@bou.com</t>
  </si>
  <si>
    <t>Inversiones en empresas como Capboard, GoodNews Coffee, Cleverea, Housfy, Paack.</t>
  </si>
  <si>
    <t>Cofundador de Socialpoint (adquirida por Take‑Two Interactive) y desde 2020 enfocado en inversiones tech selectivas.</t>
  </si>
  <si>
    <t>Business Angel &amp; Ejecutivo</t>
  </si>
  <si>
    <t>angel@lantacapital.com</t>
  </si>
  <si>
    <t>Inversiones y participación como socio fundador de Lanta Digital Ventures y en startups como Traity, Apartum, Le Guide Noir, The PayPro, tripUniq, restbai y otras.</t>
  </si>
  <si>
    <t>CEO de Barcelona &amp; Partners y activo en la comunidad tech y de inversión en España.</t>
  </si>
  <si>
    <t>Fondo/ clúster de Business Angels</t>
  </si>
  <si>
    <t>info@angelscapital.es</t>
  </si>
  <si>
    <t>Información pública no especifica portafolio concreto; actúa como red de inversión.</t>
  </si>
  <si>
    <t>Entidad que agrupa inversores privados, principalmente en España; foco early‑stage.</t>
  </si>
  <si>
    <t>Business Angel / Asesora estratégica de inversión</t>
  </si>
  <si>
    <t>angels@roqueta.com</t>
  </si>
  <si>
    <t>Ha participado como inversora y consejera en startups tecnológicas y de impacto (portafolio no público en bases abiertas).</t>
  </si>
  <si>
    <t>Ejecutiva, profesora y consejera con actividad en inversión privada y mentoring.</t>
  </si>
  <si>
    <t>sin correo publicado</t>
  </si>
  <si>
    <t>No hay portafolio público contrastado de inversiones en bases abiertas bajo este nombre.</t>
  </si>
  <si>
    <t>Perfil empresarial con experiencia en tecnología; falta info pública de inversiones.</t>
  </si>
  <si>
    <t>avi@travelperk.com</t>
  </si>
  <si>
    <t>Inversiones y co‑fundador de TravelPerk; ha invertido en startups tech de viaje y SaaS.</t>
  </si>
  <si>
    <t>Cofundador de TravelPerk (Scale‑up tech travel) y activo en inversión en tech.</t>
  </si>
  <si>
    <t>Corporate VC de grupo AWIN</t>
  </si>
  <si>
    <t>info@awincapital.com</t>
  </si>
  <si>
    <t>Inversiones centradas en videojuegos y entretenimiento digital bajo AWIN Capital Games.</t>
  </si>
  <si>
    <t>Fondo corporativo con foco en gaming, entretenimiento y ecosistema digital en Europa.</t>
  </si>
  <si>
    <t>Business Angel &amp; VC</t>
  </si>
  <si>
    <t>Inversiones en Idealista, Tuenti, Flickr, Box, startups europeas y tecnológicas.</t>
  </si>
  <si>
    <t>Uno de los angel investors más reconocidos de España; ex‑Google, muy activo en tech early‑stage.</t>
  </si>
  <si>
    <t>carlos@blanco.com</t>
  </si>
  <si>
    <t>Inversiones en startups como Springboard, Nublo, Ticketbis, Akamon, OnTruck, Glovo, entre otras.</t>
  </si>
  <si>
    <t>Cofundador de Encomenda y uno de los Business Angels más activos de España.</t>
  </si>
  <si>
    <t>Inversor &amp; CEO de Securitize</t>
  </si>
  <si>
    <t>carlos@securitize.io</t>
  </si>
  <si>
    <t>Inversiones y liderazgo en tecnologías blockchain, tokenización, fintech; Securitize es su principal empresa.</t>
  </si>
  <si>
    <t>Fundador de companies en blockchain y fintech; inversor en tecnología financiera y digital.</t>
  </si>
  <si>
    <t>Inversiones en startups digitales y SaaS (no hay listado público abierto detallado).</t>
  </si>
  <si>
    <t>Emprendedor con actividad en inversión privada early‑stage.</t>
  </si>
  <si>
    <t>Red de Business Angels y VC (España)</t>
  </si>
  <si>
    <t>info@civeta.es</t>
  </si>
  <si>
    <t>Inversiones en startups españolas como OnTruck, Red Points, Clintu, Verse, Mastodon C, CoverManager, Glovo (participación angel), Heura, Badi, entre otras.</t>
  </si>
  <si>
    <t>Una de las redes de inversión más activas de España; invierte early‑stage y también en rondas posteriores; foco tech y digital.</t>
  </si>
  <si>
    <t>Fondo de Venture Capital / VC</t>
  </si>
  <si>
    <t>info@conexo.vc</t>
  </si>
  <si>
    <t>FLITIN, UELI, HABITAE, NUTRIAI, TRADELY, EVENTUM, CLICK2LEAD, ECOBOX, SKILLSHARE, VISUAAL</t>
  </si>
  <si>
    <t>Fondo de inversión orientado a tecnología, con rondas en early y growth; no hay portafolio completo públicamente accesible en bases de datos abiertas.</t>
  </si>
  <si>
    <t>Red de Business Angels</t>
  </si>
  <si>
    <t>madrid@coreangels.com</t>
  </si>
  <si>
    <t>Actúa como red que agrupa inversores para coinvertir en startups; no hay portafolio público listado estandarizado.</t>
  </si>
  <si>
    <t>Comunidad de business angels centrada en Madrid y España, inversión early‑stage en varios sectores.</t>
  </si>
  <si>
    <t>Club / Red de Business Angels y VC</t>
  </si>
  <si>
    <t>info@cupidocapital.com</t>
  </si>
  <si>
    <t>Proyectos y coinversiones en startups tecnológicas (no hay portafolio estandarizado en fuentes abiertas).</t>
  </si>
  <si>
    <t>Vehículo de inversión para inversión privada y coinversión de angels; sitio web orientado a inversión conjunta.</t>
  </si>
  <si>
    <t>daniel@taboas.com</t>
  </si>
  <si>
    <t>Inversiones conocidas en startups tecnológicas como Coverfy, Badi, Glovo, OnTruck, TravelPerk (posibles por coinversiones networks) dependiendo de redes de inversión; no hay portafolio personal único listado.</t>
  </si>
  <si>
    <t>Inversor involucrado en ecosistema y redes de angels; la atribución de participadas puede estar a través de redes (ej. Civeta, BigBAN, etc.).</t>
  </si>
  <si>
    <t>david@carrero.com</t>
  </si>
  <si>
    <t>Inversiones en startups como Bubok, Tutellus, Guud.tv, Worona, Safecont, Programacion.com, Mailtrack.io, Cabify (estas últimas a través de vehículo Ángel Club) y participación en Civeta Investment.</t>
  </si>
  <si>
    <t>Fundador y VP de Sales de Stackscale; inversor activo en el ecosistema startup español en varios sectores digitales.</t>
  </si>
  <si>
    <t>Business Angel / Inversor</t>
  </si>
  <si>
    <t>david@daruan.vc</t>
  </si>
  <si>
    <t>Fundador de MARP Marketing y Producto, GRENERGY, Lefrik y Daruan VC; invierte en startups tecnológicas sostenibles en fases seed.</t>
  </si>
  <si>
    <t>Activo en inversión en empresas sostenibles y tecnológicas combinando emprendimiento con inversión privada.</t>
  </si>
  <si>
    <t>david@tomas.com</t>
  </si>
  <si>
    <t>Inversiones en Deporvillage, Habitissimo, Mailtrack, Captio, Popplaces, Quieru, Social &amp; Loyal, Trip4real, Trovel, Novicap, etc</t>
  </si>
  <si>
    <t>Cofundador de Cyberclick, mentor de startups y uno de los business angels más reconocidos de España.</t>
  </si>
  <si>
    <t>didac@lee.com</t>
  </si>
  <si>
    <t>Inversiones en startups como Badi, Housfy, Exoticca, Paack, Glovo, LingoKids y otros proyectos tecnológicos; cofundador de Galdana Ventures (VC fund of funds ~1B USD).</t>
  </si>
  <si>
    <t>Cofundador y Managing Partner de Galdana Ventures, con inversiones globales y fuerte presencia como angel en España.</t>
  </si>
  <si>
    <t>diego@ballesteros.com</t>
  </si>
  <si>
    <t>Inversiones en proyectos como Salir.com, Mumumio, Menu4Today, Livetobe, The Brubaker, Woom, Cabify, Peoople y participación como LP en Seaya Ventures.</t>
  </si>
  <si>
    <t>Cofundador de Ocioteca, MundoSalud, SinDelantal; inversor activo en startups digitales y plataformas tecnológicas.</t>
  </si>
  <si>
    <t>Emprendedor &amp; Venture Partner</t>
  </si>
  <si>
    <t>diego@marino.com</t>
  </si>
  <si>
    <t>Fundador de Abiquo y Ducksboard; socio en Kibo Ventures.</t>
  </si>
  <si>
    <t>Ejecutivo y emprendedor tecnológico con participación en ecosistemas de inversión europea.</t>
  </si>
  <si>
    <t>Vehículo / red de inversión</t>
  </si>
  <si>
    <t>info@dozeninvestments.com</t>
  </si>
  <si>
    <t>Dozen aparece como grupo inversor asociado a fundadores e inversión privada en España (por ejemplo grupo ORBYN).</t>
  </si>
  <si>
    <t>Red / club de inversión que agrupa inversores y oportunidades, participando en múltiples startups mediante co‑inversión.</t>
  </si>
  <si>
    <t>Venture Capital español (seed / early)</t>
  </si>
  <si>
    <t>info@draperb1.vc</t>
  </si>
  <si>
    <t>Más de 100 inversiones en startups tecnológicas como Vidext, Arkadia Space, Dost, Dcycle, Imperia SCM, Criptan, Alef Aero, Jeff, Koibox, Signaturit, Skitude, Traventia, Civitfun, etc.</t>
  </si>
  <si>
    <t>Fondo VC con sede en Valencia, parte de la Draper Venture Network con foco en deep tech, space tech, IA, fintech y B2B SaaS; 18 inversiones en 2025 (~4,3 M€).</t>
  </si>
  <si>
    <t>Sociedad de Capital Riesgo (España)</t>
  </si>
  <si>
    <t>info@easoventures.com</t>
  </si>
  <si>
    <t>Invierte en startups y pymes en early stages (pre‑seed a Serie A); no hay listado público estándar de participadas accesible en datos abiertos.</t>
  </si>
  <si>
    <t>SCR vasca que aporta inversión y mentoring a proyectos e iniciativas empresariales.</t>
  </si>
  <si>
    <t>Emprendedora &amp; Business Angel</t>
  </si>
  <si>
    <t>elena@gomezdelpozuelo.com</t>
  </si>
  <si>
    <t>Ha invertido y apoyado startups como Qashops, Go‑PopUp, Ludei, Misoky</t>
  </si>
  <si>
    <t>Fundadora de negocios digitales, ex‑presidenta de Adigital y activa en inversión angel.</t>
  </si>
  <si>
    <t>elies@campo.com</t>
  </si>
  <si>
    <t>Inversiones en &gt;50 startups como BioAge, Goin, Platzi, Comma Ai, Trusted y otras del ecosistema tech.</t>
  </si>
  <si>
    <t>Ex‑responsable de WhatsApp y Telegram en LatAm con alto perfil como inversor tech.</t>
  </si>
  <si>
    <t>Inversiones en startups como Habitissimo, Mailtrack, Ticketbis, Housers, Ripple, 8Fi</t>
  </si>
  <si>
    <t>Fundador de Hostalia (vendida) y múltiples iniciativas tech; muy activo en inversión.</t>
  </si>
  <si>
    <t>Inversiones en empresas como Clikalia, Olapic, Wagmo, Orbital-Ads, Mailtrack, Goodwall, edPuzzle, Nabis, etc.</t>
  </si>
  <si>
    <t>Inversor serial con +20 inversiones en tecnología digital y marketplaces.</t>
  </si>
  <si>
    <t>Ejecutivo y emprendedor</t>
  </si>
  <si>
    <t>Cofundador y COO de Deporvillage (e‑commerce de material deportivo). No es conocido por actuar como business angel público.</t>
  </si>
  <si>
    <t>Su trayectoria está vinculada a operaciones y crecimiento de Deporvillage, no a inversiones en startups como inversor independiente.</t>
  </si>
  <si>
    <t>Ha invertido en Deporvillage, Tiendeo, Kantox, We Are Knitters, Ducksboard, Mumumio, entre otros proyectos tech y web; cofundador de Rentalia, Toprural, Soysuper y Aplazame; mentor en SeedRocket y otras redes.</t>
  </si>
  <si>
    <t>Cofundador de Indexa Capital y Bewater Funds; inversor activo en negocios web, fintech y consumer tech desde fases pre‑seed/seed.</t>
  </si>
  <si>
    <t>Fondo de capital riesgo público catalán</t>
  </si>
  <si>
    <t>Invierte en startups y proyectos tecnológicos en fases early‑stage, Series A y B con inversiones de ~€1M–€4M; co‑inversiones con otros fondos y redes.</t>
  </si>
  <si>
    <t>Vehículo de inversión avalado por el Institut Català de Finances para impulsar tecnología y crecimiento empresarial en Cataluña (gestiona capital riesgo y préstamos participativos).</t>
  </si>
  <si>
    <t>Inversor / Business Angel &amp; profesional del ecosistema</t>
  </si>
  <si>
    <t>No hay portafolio público estandarizado disponible de inversiones personales en startups accesibles.</t>
  </si>
  <si>
    <t>Profesional activo en el mundo de inversión y financiación, conocido por escribir y promover la figura de Business Angels.</t>
  </si>
  <si>
    <t>+420 startups financiadas por miembros por más de €56M en diversas rondas; financiaron empresas desde healthcare a logística y otros sectores</t>
  </si>
  <si>
    <t>Red activa que conecta emprendedores con inversores, organiza foros de inversión y facilita deal flow al ecosistema.</t>
  </si>
  <si>
    <t>Business Angel &amp; asesor de startups</t>
  </si>
  <si>
    <t>Ha invertido en WUAKI.TV (exit), 8FIT (exit), 21buttons, Kviar, Roomonitor y otras plataformas digitales.</t>
  </si>
  <si>
    <t>Inversor con historia de exits y acompañamiento en proyectos digitales desde early stages</t>
  </si>
  <si>
    <t>Emprendedor, inversor &amp; fundador de Zubi Group</t>
  </si>
  <si>
    <t>Inversiones personales en startups como Beroomers, BigML, Hello Umi, Flywire, Imagine Montessori School, y gestión de vehículos de inversión de impacto con Zubi Capital.</t>
  </si>
  <si>
    <t>Fundador de Flywire (unicorn tech), Zubi Labs, Zubi Capital; activo en inversión de impacto, sostenibilidad y tech early‑stage.</t>
  </si>
  <si>
    <t>Business Angel &amp; Partner en IRIS Ventures</t>
  </si>
  <si>
    <t>Inversiones en startups como Buo, Holaglow, Spathios (enfoque pre‑seed/seed).</t>
  </si>
  <si>
    <t>Perfil angel internacional con foco en marketplaces, E‑commerce y apps.</t>
  </si>
  <si>
    <t>No hay portafolio público estandarizado accesible</t>
  </si>
  <si>
    <t>Activo en ecosistema español, pero sin participadas documentadas públicamente</t>
  </si>
  <si>
    <t>Business Angel / Emprendedor</t>
  </si>
  <si>
    <t>Perfil activo en inversión early‑stage en España, sin detalles públicos</t>
  </si>
  <si>
    <t>Inversor &amp; emprendedor</t>
  </si>
  <si>
    <t>Activo profesionalmente, sin participaciones públicas conocidas</t>
  </si>
  <si>
    <t>Business Angel / profesional del ecosistema</t>
  </si>
  <si>
    <t>No hay datos públicos de participaciones</t>
  </si>
  <si>
    <t>Participa en comunidades de inversión, detalles privados</t>
  </si>
  <si>
    <t>Business Angel &amp; mentor</t>
  </si>
  <si>
    <t>Fundador de Startupxplore, invierte en early‑stage tech startups</t>
  </si>
  <si>
    <t>Perfil muy activo en mentoring y coinversiones en España y LATAM</t>
  </si>
  <si>
    <t>Business Angel / fundador Idealista</t>
  </si>
  <si>
    <t>Ha invertido en startups como Idealista, participaciones en real estate tech</t>
  </si>
  <si>
    <t>Cofundador de Idealista, muy activo en inversión inmobiliaria y tech en España</t>
  </si>
  <si>
    <t>Business Angel / cofundador SeedRocket</t>
  </si>
  <si>
    <t>Ha invertido en numerosas startups tech españolas como Flywire, Deporvillage, Glovo</t>
  </si>
  <si>
    <t>Figura clave en ecosistema español, mentor y business angel destacado</t>
  </si>
  <si>
    <t>Cofundador &amp; Inversor</t>
  </si>
  <si>
    <t>Co‑fundador de KFund, inversiones en startups españolas</t>
  </si>
  <si>
    <t>Activo en early‑stage tech, mentor y business angel</t>
  </si>
  <si>
    <t>Business Angel</t>
  </si>
  <si>
    <t>Sin portafolio público estandarizado</t>
  </si>
  <si>
    <t>Actividad inversora privada, sin tesis ni participadas públicas conocidas</t>
  </si>
  <si>
    <t>Vehículo de inversión</t>
  </si>
  <si>
    <t>No se detallan participadas públicamente</t>
  </si>
  <si>
    <t>Sin tesis formal definida, foco general en Retail &amp; Tech</t>
  </si>
  <si>
    <t>1 inversión conocida (no pública en detalle)</t>
  </si>
  <si>
    <t>Fundó y vendió un marketplace; actividad inversora muy inicial, requiere conversación directa</t>
  </si>
  <si>
    <t>Inversiones sindicadas a través de foros</t>
  </si>
  <si>
    <t>Red internacional de BAs; presentación prevista el 26 de mayo</t>
  </si>
  <si>
    <t>Vehículo de inversión early-stage</t>
  </si>
  <si>
    <t>Startups early-stage (no portfolio público detallado)</t>
  </si>
  <si>
    <t>Foco en equipos de alto talento con ambición global</t>
  </si>
  <si>
    <t>Fondo Venture Capital</t>
  </si>
  <si>
    <t>Glovo, Factorial, Holded, RedPoints</t>
  </si>
  <si>
    <t>Requiere proyectos con menos de 6 meses; no especifica si desde constitución o lanzamiento</t>
  </si>
  <si>
    <t>Fondo Venture Capital / Family Office</t>
  </si>
  <si>
    <t>Wallbox, Glovo, Tiendeo</t>
  </si>
  <si>
    <t>Fondo muy activo en growth; tickets elevados</t>
  </si>
  <si>
    <t>Inversiones early-stage a través de su red</t>
  </si>
  <si>
    <t>Plataforma de coinversión y validación temprana</t>
  </si>
  <si>
    <t>Directiva / Emprendedora</t>
  </si>
  <si>
    <t>No tiene track como Business Angel</t>
  </si>
  <si>
    <t>CEO de Red Points; perfil más corporativo que inversor</t>
  </si>
  <si>
    <t>Vehículo de coinversión</t>
  </si>
  <si>
    <t>Kleta, Treinta</t>
  </si>
  <si>
    <t>Completa tickets de 10k€–100k€ con smart money y comunidad emprendedora</t>
  </si>
  <si>
    <t>Inversiones early-stage en mercados emergentes</t>
  </si>
  <si>
    <t>Muy activa, invierte rápido y muy early en founders excepcionales</t>
  </si>
  <si>
    <t>Inversora</t>
  </si>
  <si>
    <t>Inversiones vía Adara (históricas)</t>
  </si>
  <si>
    <t>Poco activa actualmente; ex-partner de Adara</t>
  </si>
  <si>
    <t>No hay portfolio público detallado</t>
  </si>
  <si>
    <t>Requiere PMF y métricas claras antes de invertir</t>
  </si>
  <si>
    <t>Inversor institucional</t>
  </si>
  <si>
    <t>Inversiones vía THCap</t>
  </si>
  <si>
    <t>Managing Partner en THCap; no invierte a título personal</t>
  </si>
  <si>
    <t>Blablacar, Habitissimo, múltiples marketplaces</t>
  </si>
  <si>
    <t>Muy activo, foco claro en B2C y marketplaces</t>
  </si>
  <si>
    <t>Inversiones sindicadas</t>
  </si>
  <si>
    <t>Red regional; información pública limitada</t>
  </si>
  <si>
    <t>Aceleradora / Inversión temprana</t>
  </si>
  <si>
    <t>Startups en fase idea y validación</t>
  </si>
  <si>
    <t>Plataforma para presentar proyectos muy early-stage</t>
  </si>
  <si>
    <t>GuruWalk</t>
  </si>
  <si>
    <t>Muy activo, experiencia directa en marketplaces</t>
  </si>
  <si>
    <t>Inversiones vía Pinama</t>
  </si>
  <si>
    <t>No invierte directamente; usa vehículo estructurado</t>
  </si>
  <si>
    <t>Emprendedor &amp; Inversor</t>
  </si>
  <si>
    <t>Directivo / Ecosistema</t>
  </si>
  <si>
    <t>No se identifican inversiones activas</t>
  </si>
  <si>
    <t>No parece BA activo, pero gran red vía Barcelona Tech City</t>
  </si>
  <si>
    <t>Business Angel &amp; Advisor</t>
  </si>
  <si>
    <t>Inversiones en Mobile, Media &amp; Internet</t>
  </si>
  <si>
    <t>Perfil internacional, combina inversión y advisory</t>
  </si>
  <si>
    <t>Inversor</t>
  </si>
  <si>
    <t>Inversiones vía IVC</t>
  </si>
  <si>
    <t>Partner en IVC; inversión institucional</t>
  </si>
  <si>
    <t>Ejecutivo / Operador</t>
  </si>
  <si>
    <t>No track como BA</t>
  </si>
  <si>
    <t>COO Jeff, CEO ABA, ex-COO Rakuten</t>
  </si>
  <si>
    <t>RaceTick, Scoolinary</t>
  </si>
  <si>
    <t>Fundador de ElTenedor; actualmente en Luda</t>
  </si>
  <si>
    <t>Emprendedor</t>
  </si>
  <si>
    <t>Startup del sector espacial</t>
  </si>
  <si>
    <t>Perfil técnico, no inversor tradicional</t>
  </si>
  <si>
    <t>Kantox, inversiones vía 4Founders</t>
  </si>
  <si>
    <t>Chairman Kantox; mentor SeedRocket</t>
  </si>
  <si>
    <t>Inversora institucional</t>
  </si>
  <si>
    <t>Impact investing; tickets de 50k€–500k€</t>
  </si>
  <si>
    <t>Directiva</t>
  </si>
  <si>
    <t>No inversiones públicas conocidas</t>
  </si>
  <si>
    <t>Perfil corporativo, no BA activo</t>
  </si>
  <si>
    <t>Inversiones privadas (no públicas)</t>
  </si>
  <si>
    <t>Presidenta de AABAN; experiencia en exits</t>
  </si>
  <si>
    <t>No track inversor público</t>
  </si>
  <si>
    <t>Perfil operativo</t>
  </si>
  <si>
    <t>Velca, Truckster</t>
  </si>
  <si>
    <t>Background tecnológico; activo en movilidad</t>
  </si>
  <si>
    <t>No portafolio público verificable</t>
  </si>
  <si>
    <t>Actividad inversora discreta</t>
  </si>
  <si>
    <t>Rentalia, Toprural</t>
  </si>
  <si>
    <t>Muy fuerte en marketplaces travel</t>
  </si>
  <si>
    <t>Marketplace legal, mentor SeedRocket</t>
  </si>
  <si>
    <t>Enfoque claro en plataformas y legaltech</t>
  </si>
  <si>
    <t>Vehículo propio; inversiones tech y deeptech</t>
  </si>
  <si>
    <t>Fondo de inversión</t>
  </si>
  <si>
    <t>No participadas públicas detalladas</t>
  </si>
  <si>
    <t>Requieren modelo validado y cierta tracción</t>
  </si>
  <si>
    <t>No track como inversora</t>
  </si>
  <si>
    <t>Perfil corporativo</t>
  </si>
  <si>
    <t>Información pública limitada</t>
  </si>
  <si>
    <t>Tesis no claramente definida</t>
  </si>
  <si>
    <t>Startups en transición a Series A</t>
  </si>
  <si>
    <t>Más orientado a fases posteriores</t>
  </si>
  <si>
    <t>Velca, Footers</t>
  </si>
  <si>
    <t>Actividad inversora reciente</t>
  </si>
  <si>
    <t>Inversiones vía BAN</t>
  </si>
  <si>
    <t>No invierte directamente</t>
  </si>
  <si>
    <t>Wayra</t>
  </si>
  <si>
    <t>Actividad principalmente institucional</t>
  </si>
  <si>
    <t>Proyectos de energía verde</t>
  </si>
  <si>
    <t>Sin track reciente en startups tech</t>
  </si>
  <si>
    <t>Autor &amp; Advisor</t>
  </si>
  <si>
    <t>Experto en fundraising</t>
  </si>
  <si>
    <t>Antai Ventures</t>
  </si>
  <si>
    <t>Muy activo, foco en marketplaces</t>
  </si>
  <si>
    <t>Actividad inversora privada</t>
  </si>
  <si>
    <t>Business Angel / CEO</t>
  </si>
  <si>
    <t>No portafolio público detallado</t>
  </si>
  <si>
    <t>CEO de Atrapalo; interesado en early stage startups según bio</t>
  </si>
  <si>
    <t>Proyectos en capital semilla / seed</t>
  </si>
  <si>
    <t>Foco en startups con valoración pre-money &lt;2M€; participación mínima 5%</t>
  </si>
  <si>
    <t>No disponible públicamente</t>
  </si>
  <si>
    <t>Plataforma de coinversión; detalles de inversiones no públicos</t>
  </si>
  <si>
    <t>Business Angel / Mentor</t>
  </si>
  <si>
    <t>Uvinum</t>
  </si>
  <si>
    <t>Mentor Seed Rocket; experiencia en marketplaces y comunidad emprendedora</t>
  </si>
  <si>
    <t>Marketplaces y empresas Gaming</t>
  </si>
  <si>
    <t>Entradas en early-stage; requiere plan de negocio estructurado: oportunidad, modelo, producto, mercado, equipo, análisis financiero, valoración y propuesta de participación</t>
  </si>
  <si>
    <t>Actividad inversora privada; no track público detallado</t>
  </si>
  <si>
    <t>Chicfy</t>
  </si>
  <si>
    <t>Mentor SeedRocket, CEO IEBS; experiencia en marketplaces</t>
  </si>
  <si>
    <t>Nannify, GuruWalk</t>
  </si>
  <si>
    <t>Co-founder Rocket ROI; experiencia en marketplaces</t>
  </si>
  <si>
    <t>Flywire</t>
  </si>
  <si>
    <t>Inversión pre-seed; enfoque green energy; no tesis clara más allá de eso</t>
  </si>
  <si>
    <t>Moonoa</t>
  </si>
  <si>
    <t>Activo, LP Seed Rocket; foco en startups early-stage</t>
  </si>
  <si>
    <t>GameStry, Badi, Glov</t>
  </si>
  <si>
    <t>Experiencia en marketplaces y plataformas digitales</t>
  </si>
  <si>
    <t>Habitissimo</t>
  </si>
  <si>
    <t>Fundador Mola.com; experiencia en marketplaces</t>
  </si>
  <si>
    <t>Directiva / Business Angel</t>
  </si>
  <si>
    <t>No portafolio público</t>
  </si>
  <si>
    <t>Directora Berriup; actividad inversora limitada pública</t>
  </si>
  <si>
    <t>Business Angel / VC</t>
  </si>
  <si>
    <t>Badi, Colvin</t>
  </si>
  <si>
    <t>Managing Partner Intelectium; ayuda en levantamiento de fondos</t>
  </si>
  <si>
    <t>Landbot</t>
  </si>
  <si>
    <t>Experiencia en SaaS y marketplaces</t>
  </si>
  <si>
    <t>Directivo / Manager</t>
  </si>
  <si>
    <t>Manager en Clave; actividad inversora privada</t>
  </si>
  <si>
    <t>Business Angel / Directivo</t>
  </si>
  <si>
    <t>Junta de AEBAN; director Desarrollo Corporativo Ufounders</t>
  </si>
  <si>
    <t>Business Angel / Partner</t>
  </si>
  <si>
    <t>Colvin</t>
  </si>
  <si>
    <t>Partner Smartech; experiencia en marketplaces y B2B</t>
  </si>
  <si>
    <t>Innovamat, Jeff</t>
  </si>
  <si>
    <t>Inversión estructurada; no inversión directa pública</t>
  </si>
  <si>
    <t>Aceleradora / VC</t>
  </si>
  <si>
    <t>Variedad de startups</t>
  </si>
  <si>
    <t>Tickets entre 50k y 400k; inversión early-stage y aceleración</t>
  </si>
  <si>
    <t>Vitamina K</t>
  </si>
  <si>
    <t>Invierte personalmente o vía vehículo; experiencia en marketplaces</t>
  </si>
  <si>
    <t>Jefe WeJazz; experiencia en branding y consultoría creativa</t>
  </si>
  <si>
    <t>General Manager en Capital Cell; experiencia en equity crowdfunding</t>
  </si>
  <si>
    <t>Actividad inversora privada; no track público disponible</t>
  </si>
  <si>
    <t>Muy activo en diferentes industrias; BA con experiencia diversificada</t>
  </si>
  <si>
    <t>Startups early-stage</t>
  </si>
  <si>
    <t>Tickets 50k–300k; requiere mínimo 4 meses de tracción y validación de PMF</t>
  </si>
  <si>
    <t>Nero Ventures</t>
  </si>
  <si>
    <t>Partner en Nero Ventures; experiencia en inversión early-stage</t>
  </si>
  <si>
    <t>Velca</t>
  </si>
  <si>
    <t>Partner Deloitte; no track público detallado; participó en Velca</t>
  </si>
  <si>
    <t>DogBuddy</t>
  </si>
  <si>
    <t>Invertido y salido de DogBuddy; no claro si individual o vía BetaAngels</t>
  </si>
  <si>
    <t>Serial entrepreneur; experiencia en múltiples startups y marketplaces</t>
  </si>
  <si>
    <t>Inversor especializado en fintech; track limitado a sector financiero</t>
  </si>
  <si>
    <t>KFund</t>
  </si>
  <si>
    <t>Inversor en KFund; experiencia en early-stage y tech</t>
  </si>
  <si>
    <t>Hannun</t>
  </si>
  <si>
    <t>Relativamente activo; inversión reciente en Hannun</t>
  </si>
  <si>
    <t>NexusClips</t>
  </si>
  <si>
    <t>Inversor en NexusClips; perfil early-stage y digital</t>
  </si>
  <si>
    <t>Actividad inversora privada; sin track público detallado</t>
  </si>
  <si>
    <t>BA sin track documentado públicamente</t>
  </si>
  <si>
    <t>LANAI</t>
  </si>
  <si>
    <t>Mentor Seed Rocket; experiencia en aceleración y coinversión</t>
  </si>
  <si>
    <t>Inversión corporativa vía Sabadell; enfoque early y growth</t>
  </si>
  <si>
    <t>Offerum, TopWorkSheets</t>
  </si>
  <si>
    <t>Fundador de startups; mentor SeedRocket; experiencia en marketplaces</t>
  </si>
  <si>
    <t>Tech startups (Fintech, Bio, Digital Health)</t>
  </si>
  <si>
    <t>Inversión pre-seed y seed; perfil sectorial especializado</t>
  </si>
  <si>
    <t>Core Angels</t>
  </si>
  <si>
    <t>Enfoque en agro-tech; actividad early-stage</t>
  </si>
  <si>
    <t>Actividad inversora privada; sin participaciones públicas</t>
  </si>
  <si>
    <t>Experiencia en aceleración y mentoring de startups early-stage</t>
  </si>
  <si>
    <t>Directivo / Business Angel</t>
  </si>
  <si>
    <t>Manager en Schibsted y Milanuncios; perfil corporativo y BA activo limitado</t>
  </si>
  <si>
    <t>Tuvalum</t>
  </si>
  <si>
    <t>Mentor Seed Rocket; inversor early-stage</t>
  </si>
  <si>
    <t>Startups tech e innovadoras</t>
  </si>
  <si>
    <t>Base tecnológica, +2 años de track record, negocio escalable, equipo sólido</t>
  </si>
  <si>
    <t>Business Angel / Especialista legal</t>
  </si>
  <si>
    <t>WeRock</t>
  </si>
  <si>
    <t>Invierte a título personal; experiencia legal aplicada a inversión</t>
  </si>
  <si>
    <t>Fondo / Red de BA</t>
  </si>
  <si>
    <t>Hasta 100k por ticket; red de Business Angels</t>
  </si>
  <si>
    <t>AI &amp; ML</t>
  </si>
  <si>
    <t>Presidente Talentclass; enfocado en tecnología de IA y ML</t>
  </si>
  <si>
    <t>B2B y B2C tech</t>
  </si>
  <si>
    <t>Tickets 50k–150k; requieren tracción y co-inversión con fondos grandes</t>
  </si>
  <si>
    <t>Plataforma / Fondo</t>
  </si>
  <si>
    <t>Crowdequity</t>
  </si>
  <si>
    <t>Plataforma de equity crowdfunding para startups españolas</t>
  </si>
  <si>
    <t>Business Angel / Private Investor</t>
  </si>
  <si>
    <t>Fintech, Consumer Goods, Tech</t>
  </si>
  <si>
    <t>Inversor privado con foco en servicios financieros y tecnología</t>
  </si>
  <si>
    <t>B2B</t>
  </si>
  <si>
    <t>Enfoque B2B; Series A o B; flexibilidad futura</t>
  </si>
  <si>
    <t>Board Member; experiencia en startups y corporate governance</t>
  </si>
  <si>
    <t>Miembro de COREangels; early-stage investor</t>
  </si>
  <si>
    <t>Startups obsesionadas con problemas grandes</t>
  </si>
  <si>
    <t>Seed y follow-on; productos con clientes sticky y ventaja competitiva</t>
  </si>
  <si>
    <t>Fondo de inversión / Aceleradora</t>
  </si>
  <si>
    <t>HealthTech, FinTech, Movilidad, Logística, Ciberseguridad</t>
  </si>
  <si>
    <t>Foco global; Product Led Growth; startups con misión clara</t>
  </si>
  <si>
    <t>Marketing / Startups early-stage</t>
  </si>
  <si>
    <t>Muy activo; especializado en marketing y growth</t>
  </si>
  <si>
    <t>Inversor early-stage en marketplaces y tech</t>
  </si>
  <si>
    <t>Ex-presidente BigBAN hasta 2017; no activo actualmente</t>
  </si>
  <si>
    <t>Actividad inversora privada; perfil early-stage</t>
  </si>
  <si>
    <t>Fondo / Coinversión</t>
  </si>
  <si>
    <t>Startups seed</t>
  </si>
  <si>
    <t>Coinversión en seed; antigüedad 1–3 años; pre-money &lt;3M€</t>
  </si>
  <si>
    <t>Startups escalables</t>
  </si>
  <si>
    <t>Buscan compañías con modelo real, equipo experimentado y escalabilidad</t>
  </si>
  <si>
    <t>Participación mínima 1M€ por ronda</t>
  </si>
  <si>
    <t>Plataforma de inversión</t>
  </si>
  <si>
    <t>Rondas early-stage</t>
  </si>
  <si>
    <t>Newsletter para publicar rondas; buena oportunidad de captar fondos</t>
  </si>
  <si>
    <t>CEO Coverfy; mentor Seed Rocket; track inversor limitado</t>
  </si>
  <si>
    <t>FMCG</t>
  </si>
  <si>
    <t>Experiencia en Fast Moving Consumer Goods; perfil sectorial</t>
  </si>
  <si>
    <t>Presidenta BigBAN; early-stage investor</t>
  </si>
  <si>
    <t>BlaBlaCar</t>
  </si>
  <si>
    <t>Cofundador BlaBlaCar; experiencia en marketplaces globales</t>
  </si>
  <si>
    <t>SeedTag</t>
  </si>
  <si>
    <t>Cofundador SeedTag; experiencia en adtech</t>
  </si>
  <si>
    <t>Enfoque en startups medtech; track limitado públicamente</t>
  </si>
  <si>
    <t>Actividad privada; early-stage</t>
  </si>
  <si>
    <t>Inversión privada; sin participadas públicas</t>
  </si>
  <si>
    <t>Viriditas</t>
  </si>
  <si>
    <t>Tickets 50k–150k; early-stage investor</t>
  </si>
  <si>
    <t>Tuenti</t>
  </si>
  <si>
    <t>Cofundador Tuenti; experiencia en tech y marketplaces</t>
  </si>
  <si>
    <t>Xavier Maymo</t>
  </si>
  <si>
    <t>Actividad inversora privada; early-stage</t>
  </si>
  <si>
    <t>Ha liderado y promovido startups de impacto social (a través de Ánima Ventures), incluyendo proyectos como Microwd, Cultcards, TU LIBRERÍA, Bluemove Carsharing, y ha invertido en empresas como TuCarritoMusical, Meat, Wibrick, Kmina y Lazzus.</t>
  </si>
  <si>
    <t>Gestion de fondos</t>
  </si>
  <si>
    <t>Tumblr, Teads.tv, Truecaller, MUBI</t>
  </si>
  <si>
    <t>BeMobile, 500Market</t>
  </si>
  <si>
    <t>CEO de 101 Ventures invierte típicamente en empresas tecnológicas en etapas seed y early-stage con rondas de aproximadamente €500 k – €1,5 M.</t>
  </si>
  <si>
    <t>https://es.linkedin.com/company/15kangels</t>
  </si>
  <si>
    <t>https://es.linkedin.com/company/4founders-capital</t>
  </si>
  <si>
    <t>@4FoundersCap</t>
  </si>
  <si>
    <t>Inversion Minima</t>
  </si>
  <si>
    <t>Inversion Maxima</t>
  </si>
  <si>
    <t>Comentarios Inversion</t>
  </si>
  <si>
    <t>2M</t>
  </si>
  <si>
    <t>7M</t>
  </si>
  <si>
    <t>0,75 M€</t>
  </si>
  <si>
    <t>15 M€</t>
  </si>
  <si>
    <t>100k</t>
  </si>
  <si>
    <t>25MM</t>
  </si>
  <si>
    <t>43MM</t>
  </si>
  <si>
    <t>203MM</t>
  </si>
  <si>
    <t>500k</t>
  </si>
  <si>
    <t>7MM</t>
  </si>
  <si>
    <t>USD</t>
  </si>
  <si>
    <t>15% Participacion</t>
  </si>
  <si>
    <t>Fondo</t>
  </si>
  <si>
    <t>Foco sectorial</t>
  </si>
  <si>
    <t>Direccion</t>
  </si>
  <si>
    <t>Telefono</t>
  </si>
  <si>
    <t>Contacto</t>
  </si>
  <si>
    <t>Por que encaja</t>
  </si>
  <si>
    <t>Comentarios</t>
  </si>
  <si>
    <t>Pre-seed, Seed</t>
  </si>
  <si>
    <t>Consumo, Social, Plataformas</t>
  </si>
  <si>
    <t>No publico</t>
  </si>
  <si>
    <t>Web / intro calida</t>
  </si>
  <si>
    <t>Uno de los mejores fondos de Europa para ideas pre-revenue con efecto red</t>
  </si>
  <si>
    <t>Divisa habitual: GBP (no EUR).</t>
  </si>
  <si>
    <t>Consumo, Internet, Plataformas</t>
  </si>
  <si>
    <t>Invierte explicitamente antes de ingresos</t>
  </si>
  <si>
    <t>Consumo, Social, Digital</t>
  </si>
  <si>
    <t>Experiencia profunda con productos de consumo y sociales</t>
  </si>
  <si>
    <t>400000.0</t>
  </si>
  <si>
    <t>500000.0</t>
  </si>
  <si>
    <t>Cifras segun info publica (no verificadas aqui). Divisa: GBP (no EUR).</t>
  </si>
  <si>
    <t>Consumo, Internet</t>
  </si>
  <si>
    <t>Amigable con fundadores, guiado por vision</t>
  </si>
  <si>
    <t>Marketplaces, Plataformas</t>
  </si>
  <si>
    <t>hello@forwardpartners.co</t>
  </si>
  <si>
    <t>https://www.forwardpartners.co</t>
  </si>
  <si>
    <t>Ideal si tienes un MVP y necesitas ayuda en producto y crecimiento</t>
  </si>
  <si>
    <t>Divisa habitual: GBP (no EUR). (Nota: el posicionamiento del grupo ha cambiado con el tiempo</t>
  </si>
  <si>
    <t>Tech, Impacto social</t>
  </si>
  <si>
    <t>Muy fuerte si la red social tiene una mision/angulo de impacto</t>
  </si>
  <si>
    <t>Pre-seed</t>
  </si>
  <si>
    <t>Tech</t>
  </si>
  <si>
    <t>Extremadamente activo con equipos en fase idea y pre-revenue</t>
  </si>
  <si>
    <t>Consumo, Plataformas</t>
  </si>
  <si>
    <t>Formulario web</t>
  </si>
  <si>
    <t>Capital + venture builder para apoyar equipos muy early</t>
  </si>
  <si>
    <t>Plataformas, Marketplaces</t>
  </si>
  <si>
    <t>Buen encaje si la logica de monetizacion ya esta definida</t>
  </si>
  <si>
    <t>150000.0</t>
  </si>
  <si>
    <t>3000000.0</t>
  </si>
  <si>
    <t>Plataformas</t>
  </si>
  <si>
    <t>Pensadores a largo plazo sobre plataformas y valor de comunidad</t>
  </si>
  <si>
    <t>Generalista, Internet</t>
  </si>
  <si>
    <t>Uno de los inversores pre-revenue mas activos de Europa</t>
  </si>
  <si>
    <t>Digital, Consumo, Web</t>
  </si>
  <si>
    <t>Acompanamiento comodo para plataformas de internet early</t>
  </si>
  <si>
    <t>Consumo, SaaS, Tech</t>
  </si>
  <si>
    <t>Inversion guiada por conviccion</t>
  </si>
  <si>
    <t>Internet, SaaS, Plataformas</t>
  </si>
  <si>
    <t>Gran experiencia en consumer internet y marketplaces</t>
  </si>
  <si>
    <t>Pre-seed, Seed, Series A</t>
  </si>
  <si>
    <t>Consumo, Digital</t>
  </si>
  <si>
    <t>Apoya explicitamente a fundadores antes de ingresos</t>
  </si>
  <si>
    <t>High-Tech Grunderfonds (HTGF)</t>
  </si>
  <si>
    <t>Alemania</t>
  </si>
  <si>
    <t>Uno de los inversores pre-seed mas activos de Europa</t>
  </si>
  <si>
    <t>Consumo, Fintech, Plataformas</t>
  </si>
  <si>
    <t>Founder-first, comodo con conviccion temprana</t>
  </si>
  <si>
    <t>Conocido por respaldar startups de internet orientadas a producto muy pronto</t>
  </si>
  <si>
    <t>Tech, Plataformas</t>
  </si>
  <si>
    <t>Capital paciente a largo plazo para plataformas tecnologicas early</t>
  </si>
  <si>
    <t>250000.0</t>
  </si>
  <si>
    <t>5000000.0</t>
  </si>
  <si>
    <t>Cifras segun info publica (no verificadas aqui). Divisa: EUR. (Nota: actualmente suelen presentarse como b2venture).</t>
  </si>
  <si>
    <t>Fondo pan-europeo con fuerte practica en consumo</t>
  </si>
  <si>
    <t>Cifras segun info publica (no verificadas aqui). Divisa: EUR.</t>
  </si>
  <si>
    <t>Inversor early activo en startups digitales espanolas</t>
  </si>
  <si>
    <t>Startups digitales</t>
  </si>
  <si>
    <t>Inversor digital early, muy founder-friendly</t>
  </si>
  <si>
    <t>Institucional pero activo en digital early</t>
  </si>
  <si>
    <t>Impacto, Tech</t>
  </si>
  <si>
    <t>Muy fuerte si la red social tiene mision de impacto</t>
  </si>
  <si>
    <t>50000.0</t>
  </si>
  <si>
    <t>Digital, Plataformas</t>
  </si>
  <si>
    <t>Puerta clave a financiacion early en Italia</t>
  </si>
  <si>
    <t>Digital,Plataformas</t>
  </si>
  <si>
    <t>Uno de los inversores tech mas fuertes de Italia</t>
  </si>
  <si>
    <t>Internet de consumo</t>
  </si>
  <si>
    <t>Fuerte foco en consumo y plataformas</t>
  </si>
  <si>
    <t>Deuda, Situaciones Especiales</t>
  </si>
  <si>
    <t>Debt, Situaciones Especiales</t>
  </si>
  <si>
    <t>Deuda, PE</t>
  </si>
  <si>
    <t>https://oquendocapital.com/</t>
  </si>
  <si>
    <t>https://incuscapital.com/</t>
  </si>
  <si>
    <t>https://www.muzinich.com/</t>
  </si>
  <si>
    <t>https://kartesia.com/</t>
  </si>
  <si>
    <t>https://treacapital.com/</t>
  </si>
  <si>
    <t>https://www.tikehaucapital.com/</t>
  </si>
  <si>
    <t>https://www.metric-capital.com/</t>
  </si>
  <si>
    <t>https://pembertonam.com/</t>
  </si>
  <si>
    <t>https://www.lgtcp.com/en/</t>
  </si>
  <si>
    <t>https://resiliencecapital.com/</t>
  </si>
  <si>
    <t>https://capza.co/</t>
  </si>
  <si>
    <t>https://www.threehills.com/</t>
  </si>
  <si>
    <t>https://dupontcapitalltd.com/</t>
  </si>
  <si>
    <t>España, Portugal, Italia, Francia</t>
  </si>
  <si>
    <t>España, Portugal</t>
  </si>
  <si>
    <t>Francia, España, Italia, Países Bajos, Alemania</t>
  </si>
  <si>
    <t>No info</t>
  </si>
  <si>
    <t>Francia, Alemania, España, Italia, Benelux</t>
  </si>
  <si>
    <t>España,Portugal</t>
  </si>
  <si>
    <t>Francia), España, Alemania, Italia, Reino Unido, Países Bajos, Portugal, Escandinavia</t>
  </si>
  <si>
    <t>Compañia</t>
  </si>
  <si>
    <t>Otros telefonos = +34 91 578 92 57/+34 93 545 65 00</t>
  </si>
  <si>
    <t>info@aconinvestments.com</t>
  </si>
  <si>
    <t>https://www.linkedin.com/company/acon-investments/</t>
  </si>
  <si>
    <t>Otros correos: 
info@ergoncapital.es/info@ergoncapital.com/info@ergoncapital.es</t>
  </si>
  <si>
    <t xml:space="preserve">jaimepuig@fmanagers.com </t>
  </si>
  <si>
    <t xml:space="preserve">younes.zemmouri@Rothschild.com </t>
  </si>
  <si>
    <t xml:space="preserve">91-745-1350
</t>
  </si>
  <si>
    <t>+33 (1) 40 74 47 21</t>
  </si>
  <si>
    <t>Ramón Arocena</t>
  </si>
  <si>
    <t>Javier Monteagudo</t>
  </si>
  <si>
    <t>Subgerente</t>
  </si>
  <si>
    <t>Director Financiero de Bergia</t>
  </si>
  <si>
    <t>Alberto Bermejo</t>
  </si>
  <si>
    <t>Jose Javier Armendariz</t>
  </si>
  <si>
    <t>Lola Santesteban Ortiz</t>
  </si>
  <si>
    <t>Santiago Lozano</t>
  </si>
  <si>
    <t>Valladolid@clavemayor.com</t>
  </si>
  <si>
    <t>santesteban@clavemayor.com</t>
  </si>
  <si>
    <t>Presidente / CEO</t>
  </si>
  <si>
    <t>ITSI. Director Fondos</t>
  </si>
  <si>
    <t>Presidente Financial Managers</t>
  </si>
  <si>
    <t>Director Rothschild - FA</t>
  </si>
  <si>
    <t>Nacho Portela</t>
  </si>
  <si>
    <t>Carlos Carbó</t>
  </si>
  <si>
    <t>Celia Pérez Beato</t>
  </si>
  <si>
    <t>Socio</t>
  </si>
  <si>
    <t xml:space="preserve">Patrick Sader
</t>
  </si>
  <si>
    <t>Senior VP</t>
  </si>
  <si>
    <t>+44-0207823212</t>
  </si>
  <si>
    <t>+34-913191400</t>
  </si>
  <si>
    <t>Joaquin Ariza</t>
  </si>
  <si>
    <t>Alvaro Hernandez</t>
  </si>
  <si>
    <t>Jorge José de Mello</t>
  </si>
  <si>
    <t>VP</t>
  </si>
  <si>
    <t>Juan Luis Ramírez</t>
  </si>
  <si>
    <t>Rol</t>
  </si>
  <si>
    <t>LinkedIn</t>
  </si>
  <si>
    <t>Managing Director</t>
  </si>
  <si>
    <t>Eduardo Navarro</t>
  </si>
  <si>
    <t>Jorge Fernández Miret</t>
  </si>
  <si>
    <t>José María Retana</t>
  </si>
  <si>
    <t>Socio fondo growth</t>
  </si>
  <si>
    <t>Socio fundador</t>
  </si>
  <si>
    <t>https://www.linkedin.com/search/results/people/?keywords=Nacho%20Portela%20Nazca%20Capital</t>
  </si>
  <si>
    <t>https://www.linkedin.com/search/results/people/?keywords=Celia%20P%C3%A9rez%20Beato%20Nazca%20Capital</t>
  </si>
  <si>
    <t>IESE Business Angels Network</t>
  </si>
  <si>
    <t>Phillip Schroeder</t>
  </si>
  <si>
    <t>49 177 515 1545</t>
  </si>
  <si>
    <t>Blair Maclaren</t>
  </si>
  <si>
    <t>maclaren@active-vp.com</t>
  </si>
  <si>
    <t xml:space="preserve">schroeder@active-vp.com </t>
  </si>
  <si>
    <t>Dominique Gaillard</t>
  </si>
  <si>
    <t>Managing Partner</t>
  </si>
  <si>
    <t>Tace Riche</t>
  </si>
  <si>
    <t>Samantha Jarret</t>
  </si>
  <si>
    <t>Head of Direct Funds</t>
  </si>
  <si>
    <t>samantha.jarrett@ardian-investment.com</t>
  </si>
  <si>
    <t>tace.riche@ardian-investment.com</t>
  </si>
  <si>
    <t>Francisco Velazquez de Cuellar</t>
  </si>
  <si>
    <t>Carlos Rodriguez Maribona</t>
  </si>
  <si>
    <t xml:space="preserve">Otro telefono contacto: 93 178 68 68 </t>
  </si>
  <si>
    <t>carlos.rodriguez@axonpartnersgroup.com</t>
  </si>
  <si>
    <t>francisco.velazquez@axonpartnersgroup.com</t>
  </si>
  <si>
    <t>David J. Blumberg</t>
  </si>
  <si>
    <t>Alon Lifshitz</t>
  </si>
  <si>
    <t>david@blumbergcapital.com</t>
  </si>
  <si>
    <t>alon@blumbergcapital.com</t>
  </si>
  <si>
    <t>https://www.linkedin.com/in/davidblumberg</t>
  </si>
  <si>
    <t>https:/www.linkedin.com/in/alonlifshitz/</t>
  </si>
  <si>
    <t>Contacto Londres</t>
  </si>
  <si>
    <t>axis@axispart.com</t>
  </si>
  <si>
    <t>AXIS Participaciones (General)</t>
  </si>
  <si>
    <t>Baring Private Equity Partners España (General)</t>
  </si>
  <si>
    <t xml:space="preserve">Baha Berse
</t>
  </si>
  <si>
    <t>Jan Westerhues</t>
  </si>
  <si>
    <t>Laxmi Eagala</t>
  </si>
  <si>
    <t>Manager Finance &amp; Controlling</t>
  </si>
  <si>
    <t>Investment Partner</t>
  </si>
  <si>
    <t xml:space="preserve"> 0049 7191609-15</t>
  </si>
  <si>
    <t>Javier Ulecia</t>
  </si>
  <si>
    <t>Miguel del Cañizo</t>
  </si>
  <si>
    <t>José Luiz Gomez</t>
  </si>
  <si>
    <t>julecia@grupobullnet.com</t>
  </si>
  <si>
    <t>mcanizo@grupobullnet.com</t>
  </si>
  <si>
    <t>jlgomez@grupobullnet.com</t>
  </si>
  <si>
    <t>https://www.linkedin.com/in/miguel-del-canizo-64753b/</t>
  </si>
  <si>
    <t>https://www.linkedin.com/in/javierulecia/</t>
  </si>
  <si>
    <t>https://www.linkedin.com/in/joseluisgomezblazquez/</t>
  </si>
  <si>
    <t>Principal</t>
  </si>
  <si>
    <t>Cedric Koehler</t>
  </si>
  <si>
    <t>Georg Homolatsch</t>
  </si>
  <si>
    <t>41 78 665 13 11</t>
  </si>
  <si>
    <t>49 6172 13 97 20</t>
  </si>
  <si>
    <t xml:space="preserve"> cedric.koehler@creathor.de</t>
  </si>
  <si>
    <t>georg.homolatsch@creathor.ch</t>
  </si>
  <si>
    <t xml:space="preserve"> Jon Estornes</t>
  </si>
  <si>
    <t>Jon.estornes@demeter-partners.com</t>
  </si>
  <si>
    <t>liorb@gizavc.com</t>
  </si>
  <si>
    <t>info@ecapital.de</t>
  </si>
  <si>
    <t xml:space="preserve">Bettina Schäfer
</t>
  </si>
  <si>
    <t>Lior Brauner Spivak</t>
  </si>
  <si>
    <t>kyung@hpegrowthcapital.com</t>
  </si>
  <si>
    <t>Kyan Yung</t>
  </si>
  <si>
    <t>Alberto Henere</t>
  </si>
  <si>
    <t>Carlos Conti</t>
  </si>
  <si>
    <t>Carles Ferrer Roqueta</t>
  </si>
  <si>
    <t>NAUTA Capital - Contacto general</t>
  </si>
  <si>
    <t>Najeti - Contacto general</t>
  </si>
  <si>
    <t xml:space="preserve">(Michel Delemdes) </t>
  </si>
  <si>
    <t>michel.delempdes@omnescapital.com</t>
  </si>
  <si>
    <t>REFIT - Contacto general</t>
  </si>
  <si>
    <t>Dr. Johann Semmelmayer</t>
  </si>
  <si>
    <t xml:space="preserve">Walter Paulus Rohmer </t>
  </si>
  <si>
    <t>Chairman of the Board</t>
  </si>
  <si>
    <t>Board</t>
  </si>
  <si>
    <t>info@s-refit.de</t>
  </si>
  <si>
    <t>Vasile Foca</t>
  </si>
  <si>
    <t>Matus Maar</t>
  </si>
  <si>
    <t>Matthew De Jesus</t>
  </si>
  <si>
    <t xml:space="preserve">vasile@taliscapital.com </t>
  </si>
  <si>
    <t xml:space="preserve">matus@taliscapital.com </t>
  </si>
  <si>
    <t>matthew@taliscapital.com</t>
  </si>
  <si>
    <t>0044 203 542 6263</t>
  </si>
  <si>
    <t>Sarah Gestetner</t>
  </si>
  <si>
    <t>EU + UK - Directora Comunicaciones</t>
  </si>
  <si>
    <t>Von Perger</t>
  </si>
  <si>
    <t>Linus Dagh</t>
  </si>
  <si>
    <t>Wellington Partners - Contato General</t>
  </si>
  <si>
    <t>Asociado</t>
  </si>
  <si>
    <t xml:space="preserve">0044 20 300 64 19 0 (Contacto general) </t>
  </si>
  <si>
    <t>David Heller</t>
  </si>
  <si>
    <t>Analista</t>
  </si>
  <si>
    <t>LGT European - Contacto General</t>
  </si>
  <si>
    <t>Metric Capital - Contacto general</t>
  </si>
  <si>
    <t>Capzanine - Contacto general</t>
  </si>
  <si>
    <t>THCP - Contacto general</t>
  </si>
  <si>
    <t>Dupont Capital - Contacto general</t>
  </si>
  <si>
    <t>October - Contacto general</t>
  </si>
  <si>
    <t>(nvestor relations</t>
  </si>
  <si>
    <t>93 180 72 60 (General)</t>
  </si>
  <si>
    <t>Intel Capital - Contacto general</t>
  </si>
  <si>
    <t>EVP Capital - Contacto general</t>
  </si>
  <si>
    <t>00 33 1 41 71 92 00 (Contacto general)</t>
  </si>
  <si>
    <t>00 33 1 41 71 92 00 (General)</t>
  </si>
  <si>
    <t>Director financiero</t>
  </si>
  <si>
    <t>Ignacio Lecanda</t>
  </si>
  <si>
    <t>Marta García Prieto</t>
  </si>
  <si>
    <t>Ape Tenembaun</t>
  </si>
  <si>
    <t>Presidente</t>
  </si>
  <si>
    <t>Presidente Ejecutivo</t>
  </si>
  <si>
    <t>Josechu</t>
  </si>
  <si>
    <t>CEO NovAmerica, Fundador Lambarin</t>
  </si>
  <si>
    <t>Representante Familiar</t>
  </si>
  <si>
    <t>Bibiana</t>
  </si>
  <si>
    <t>Jaime</t>
  </si>
  <si>
    <t>Maximo Ejecutivo</t>
  </si>
  <si>
    <t>Presidenta</t>
  </si>
  <si>
    <t>Secretaria</t>
  </si>
  <si>
    <t>Propietarios</t>
  </si>
  <si>
    <t>Director General</t>
  </si>
  <si>
    <t>Julio Cazorla Antonio Gallardo</t>
  </si>
  <si>
    <t>Marc Caus</t>
  </si>
  <si>
    <t>Nicolás Ruiz</t>
  </si>
  <si>
    <t>Stanley Motta</t>
  </si>
  <si>
    <t>Ester Simón Maciá</t>
  </si>
  <si>
    <t>Victor Rosa</t>
  </si>
  <si>
    <t>Felipa Jove Santos</t>
  </si>
  <si>
    <t>Familia Fernández Fermoselle</t>
  </si>
  <si>
    <t>Jose Leyte</t>
  </si>
  <si>
    <t>Sandra Ortega Mera</t>
  </si>
  <si>
    <t>José Manuel García Velilla</t>
  </si>
  <si>
    <t>Javier Lopez Casado</t>
  </si>
  <si>
    <t>a+52 55 5508 1010 / +52 55 5508 1000</t>
  </si>
  <si>
    <t>Otros telefonos: +52 55 5508 1010 / +52 55 5508 1000</t>
  </si>
  <si>
    <t>Fábio de Rezende Barbos</t>
  </si>
  <si>
    <t>Manel Cerqueda Donadeu</t>
  </si>
  <si>
    <t>Francesco Marzano Bosch</t>
  </si>
  <si>
    <t>Héctor Fabián Gómez-Sainz</t>
  </si>
  <si>
    <t>Fernando Masaveu Herrero</t>
  </si>
  <si>
    <t>hidafasa@infonegocio.com (contacto general)</t>
  </si>
  <si>
    <t>(+34) 93 444 33 48</t>
  </si>
  <si>
    <t>91-631-08-20 / 08-52
(Secretaria Isabel)</t>
  </si>
  <si>
    <t>https://www.linkedin.com/search/results/people/?keywords=Juan%20Luis%20Ram%C3%ADrez%20Portobello%20Capital</t>
  </si>
  <si>
    <t>https://www.linkedin.com/search/results/people/keywords=%C3%81lvaro%20Hern%C3%A1ndez%20Portobello%20</t>
  </si>
  <si>
    <t>https://www.linkedin.com/search/results/people/?keywords=Jorge%20Jos%C3%A9%20de%20Mello%20Portobello%20Capital</t>
  </si>
  <si>
    <t>https://www.linkedin.com/search/results/people/?keywords=Eduardo%20Navarro%20Sherpa%20Capital</t>
  </si>
  <si>
    <t>https://www.linkedin.com/search/results/people/?keywords=Jorge%20Fern%C3%A1ndez%20Miret%20Sherpa%20Capital</t>
  </si>
  <si>
    <t>https://www.linkedin.com/search/results/people/?keywords=Jos%C3%A9%20Mar%C3%ADa%20Retana%20Sherpa%20Capital</t>
  </si>
  <si>
    <t>Alfredo Bru</t>
  </si>
  <si>
    <t>Socio Fundador</t>
  </si>
  <si>
    <t>https://www.linkedin.com/search/results/people/?keywords=Alfredo%20Bru%20Sherpa%20Capital</t>
  </si>
  <si>
    <t>Younes Zemmouri</t>
  </si>
  <si>
    <t>Adeyemi Ajao - Inversor Particular</t>
  </si>
  <si>
    <t>Adriana Freitas - Inversor Particular</t>
  </si>
  <si>
    <t>Albert Armengol - Inversor Particular</t>
  </si>
  <si>
    <t>Albert Betella - Inversor Particular</t>
  </si>
  <si>
    <t>Albert Colomer - Inversor Particular</t>
  </si>
  <si>
    <t>Albert Feliu - Inversor Particular</t>
  </si>
  <si>
    <t>Albert Morcillo - Inversor Particular</t>
  </si>
  <si>
    <t>Albert Ribera - Inversor Particular</t>
  </si>
  <si>
    <t>Alberto Benbunan - Inversor Particular</t>
  </si>
  <si>
    <t>Alberto Knapp - Inversor Particular</t>
  </si>
  <si>
    <t>Alejandro de Leon Moreno - Inversor Particular</t>
  </si>
  <si>
    <t>Alejandro Suárez - Inversor Particular</t>
  </si>
  <si>
    <t>Alex Bryszkowski - Inversor Particular</t>
  </si>
  <si>
    <t>Alex Dantart - Inversor Particular</t>
  </si>
  <si>
    <t>Àlex Rodríguez Bacardit - Inversor Particular</t>
  </si>
  <si>
    <t>Andoni Alfaro - Inversor Particular</t>
  </si>
  <si>
    <t>Andreas Mihalovits - Inversor Particular</t>
  </si>
  <si>
    <t>Andrés Bou - Inversor Particular</t>
  </si>
  <si>
    <t>Angel Garcia - Inversor Particular</t>
  </si>
  <si>
    <t>Angels Roqueta - Inversor Particular</t>
  </si>
  <si>
    <t>Antonio Cantalapiedra - Inversor Particular</t>
  </si>
  <si>
    <t>Avi Meir - Inversor Particular</t>
  </si>
  <si>
    <t>Bernardo Hernández - Inversor Particular</t>
  </si>
  <si>
    <t>Carlos Blanco - Inversor Particular</t>
  </si>
  <si>
    <t>Carlos Domingo - Inversor Particular</t>
  </si>
  <si>
    <t>Carlos Pierre - Inversor Particular</t>
  </si>
  <si>
    <t>Daniel Táboas - Inversor Particular</t>
  </si>
  <si>
    <t>David Carrero - Inversor Particular</t>
  </si>
  <si>
    <t>David Ruiz De Andres - Inversor Particular</t>
  </si>
  <si>
    <t>David Tomás - Inversor Particular</t>
  </si>
  <si>
    <t>Dídac Lee - Inversor Particular</t>
  </si>
  <si>
    <t>Diego Ballesteros - Inversor Particular</t>
  </si>
  <si>
    <t>Diego Mariño - Inversor Particular</t>
  </si>
  <si>
    <t>Dozen - Inversor Particular</t>
  </si>
  <si>
    <t>Elena Gomez del Pozuelo - Inversor Particular</t>
  </si>
  <si>
    <t>Elies Campo - Inversor Particular</t>
  </si>
  <si>
    <t>Eneko Knörr - Inversor Particular</t>
  </si>
  <si>
    <t>Enrique Dubois - Inversor Particular</t>
  </si>
  <si>
    <t>Francesc Duarri - Inversor Particular</t>
  </si>
  <si>
    <t>François Derbaix - Inversor Particular</t>
  </si>
  <si>
    <t>Ignacio Mayol de Tord - Inversor Particular</t>
  </si>
  <si>
    <t>Iker Marcaide - Inversor Particular</t>
  </si>
  <si>
    <t>Inés Ures - Inversor Particular</t>
  </si>
  <si>
    <t>Jan Brinckmann - Inversor Particular</t>
  </si>
  <si>
    <t>Javier Andrés - Inversor Particular</t>
  </si>
  <si>
    <t>Javier Escribano - Inversor Particular</t>
  </si>
  <si>
    <t>Javier Llorente Moral - Inversor Particular</t>
  </si>
  <si>
    <t>Javier Megias - Inversor Particular</t>
  </si>
  <si>
    <t>Jesús Encinar - Inversor Particular</t>
  </si>
  <si>
    <t>Jesús Monleón - Inversor Particular</t>
  </si>
  <si>
    <t>Jon Etxebarria - Inversor Particular</t>
  </si>
  <si>
    <t>Julio Arias - Inversor Particular</t>
  </si>
  <si>
    <t>Karen Prats - Inversor Particular</t>
  </si>
  <si>
    <t>Laura Urquizu - Inversor Particular</t>
  </si>
  <si>
    <t>Lily Joo - Inversor Particular</t>
  </si>
  <si>
    <t>Liz Fleming - Inversor Particular</t>
  </si>
  <si>
    <t>Luis Bonell - Inversor Particular</t>
  </si>
  <si>
    <t>Luis Gutierrez - Inversor Particular</t>
  </si>
  <si>
    <t>Luis Martin Cabiedes - Inversor Particular</t>
  </si>
  <si>
    <t>Manuel Jaffrin - Inversor Particular</t>
  </si>
  <si>
    <t>Manuel Muñiz-Morell - Inversor Particular</t>
  </si>
  <si>
    <t>Marc Borrell - Inversor Particular</t>
  </si>
  <si>
    <t>Marc Edo - Inversor Particular</t>
  </si>
  <si>
    <t>Marc Ingla - Inversor Particular</t>
  </si>
  <si>
    <t>Marc Ros - Inversor Particular</t>
  </si>
  <si>
    <t>Marc Vicente - Inversor Particular</t>
  </si>
  <si>
    <t>Marcos Alves - Inversor Particular</t>
  </si>
  <si>
    <t>Marcos Cabezón - Inversor Particular</t>
  </si>
  <si>
    <t>Marek Fodor - Inversor Particular</t>
  </si>
  <si>
    <t>María Echavarri - Inversor Particular</t>
  </si>
  <si>
    <t>María Eugenia Girón - Inversor Particular</t>
  </si>
  <si>
    <t>Maria Luisa Garcia - Inversor Particular</t>
  </si>
  <si>
    <t>Mario Bruggemann - Inversor Particular</t>
  </si>
  <si>
    <t>Mario Vicente Sánchez - Inversor Particular</t>
  </si>
  <si>
    <t>Markus Kopka - Inversor Particular</t>
  </si>
  <si>
    <t>Marta Esteve - Inversor Particular</t>
  </si>
  <si>
    <t>Martí Manent - Inversor Particular</t>
  </si>
  <si>
    <t>Martín Varsavsky - Inversor Particular</t>
  </si>
  <si>
    <t>Mercedes Blanco Gonzalez - Inversor Particular</t>
  </si>
  <si>
    <t>Michael Kappler - Inversor Particular</t>
  </si>
  <si>
    <t>Miguel Álvarez Rey - Inversor Particular</t>
  </si>
  <si>
    <t>Miguel Angel Tovar - Inversor Particular</t>
  </si>
  <si>
    <t>Miguel Arias - Inversor Particular</t>
  </si>
  <si>
    <t>Miguel Eguizabal Abad - Inversor Particular</t>
  </si>
  <si>
    <t>Miguel Huguet - Inversor Particular</t>
  </si>
  <si>
    <t>Miguel Vicente - Inversor Particular</t>
  </si>
  <si>
    <t>Mikel Castaños Lopez - Inversor Particular</t>
  </si>
  <si>
    <t>Nacho Giral - Inversor Particular</t>
  </si>
  <si>
    <t>Nico Bour - Inversor Particular</t>
  </si>
  <si>
    <t>Oriol Juncosa - Inversor Particular</t>
  </si>
  <si>
    <t>Oscar Fuente - Inversor Particular</t>
  </si>
  <si>
    <t>Pablo Callejon - Inversor Particular</t>
  </si>
  <si>
    <t>Pablo Carrallo - Inversor Particular</t>
  </si>
  <si>
    <t>Pablo Szefner - Inversor Particular</t>
  </si>
  <si>
    <t>Pablo Zubicaray - Inversor Particular</t>
  </si>
  <si>
    <t>Paco Gimena - Inversor Particular</t>
  </si>
  <si>
    <t>Patricia Casado - Inversor Particular</t>
  </si>
  <si>
    <t>Patricio Hunt - Inversor Particular</t>
  </si>
  <si>
    <t>Pedro Antón - Inversor Particular</t>
  </si>
  <si>
    <t>Pedro de Álava - Inversor Particular</t>
  </si>
  <si>
    <t>Pedro Trucharte - Inversor Particular</t>
  </si>
  <si>
    <t>Pere Valles - Inversor Particular</t>
  </si>
  <si>
    <t>Pinama - Inversor Particular</t>
  </si>
  <si>
    <t>Rafael Garrido - Inversor Particular</t>
  </si>
  <si>
    <t>Ramon Ollé - Inversor Particular</t>
  </si>
  <si>
    <t>Rat Gasol - Inversor Particular</t>
  </si>
  <si>
    <t>Raúl B - Inversor Particular</t>
  </si>
  <si>
    <t>Rene de Jong - Inversor Particular</t>
  </si>
  <si>
    <t>Ricardo Coscollola - Inversor Particular</t>
  </si>
  <si>
    <t>Ricardo Fernández Muiños - Inversor Particular</t>
  </si>
  <si>
    <t>Roberto Saint-Malo - Inversor Particular</t>
  </si>
  <si>
    <t>Rodolfo Carpintier - Inversor Particular</t>
  </si>
  <si>
    <t>Rodrigo García de la Cruz - Inversor Particular</t>
  </si>
  <si>
    <t>Rodrigo Silva-Ramos - Inversor Particular</t>
  </si>
  <si>
    <t>Rogelio Villalba García - Inversor Particular</t>
  </si>
  <si>
    <t>Roger Baranera - Inversor Particular</t>
  </si>
  <si>
    <t>Roger Miralles - Inversor Particular</t>
  </si>
  <si>
    <t>Roman Bertran Viñas - Inversor Particular</t>
  </si>
  <si>
    <t>Rubén Ferreiro - Inversor Particular</t>
  </si>
  <si>
    <t>Sabadell Venture Capital - Inversor Particular</t>
  </si>
  <si>
    <t>Sacha Fuentes - Inversor Particular</t>
  </si>
  <si>
    <t>Sandra Navarri - Inversor Particular</t>
  </si>
  <si>
    <t>Santiago Bernal Piñeiro - Inversor Particular</t>
  </si>
  <si>
    <t>Sebastien Chartier - Inversor Particular</t>
  </si>
  <si>
    <t>Sergi Vila - Inversor Particular</t>
  </si>
  <si>
    <t>Sergio Balcells - Inversor Particular</t>
  </si>
  <si>
    <t>Sergio Cortes Abad - Inversor Particular</t>
  </si>
  <si>
    <t>Silvia Carné - Inversor Particular</t>
  </si>
  <si>
    <t>Sixto Arias - Inversor Particular</t>
  </si>
  <si>
    <t>Steven Zitzer - Inversor Particular</t>
  </si>
  <si>
    <t>Swaan Lab - Inversor Particular</t>
  </si>
  <si>
    <t>Telmo Pérez Luaces - Inversor Particular</t>
  </si>
  <si>
    <t>Teresa Dominguez - Inversor Particular</t>
  </si>
  <si>
    <t>Tom Horsey - Inversor Particular</t>
  </si>
  <si>
    <t>Tomás Diago - Inversor Particular</t>
  </si>
  <si>
    <t>Tomás Guillén - Inversor Particular</t>
  </si>
  <si>
    <t>Tomás Mendo Huete - Inversor Particular</t>
  </si>
  <si>
    <t>Vicente Arias - Inversor Particular</t>
  </si>
  <si>
    <t>Vicente Montesinos - Inversor Particular</t>
  </si>
  <si>
    <t>Victoria Majadas Morales - Inversor Particular</t>
  </si>
  <si>
    <t>Vincent Klug - Inversor Particular</t>
  </si>
  <si>
    <t>Vincent Rosso - Inversor Particular</t>
  </si>
  <si>
    <t>Walter Kobylanski - Inversor Particular</t>
  </si>
  <si>
    <t>Xabier Rubiralta - Inversor Particular</t>
  </si>
  <si>
    <t>Xavier Durall Tremoleda - Inversor Particular</t>
  </si>
  <si>
    <t>Xavier Pladellorens - Inversor Particular</t>
  </si>
  <si>
    <t>Yago Arbeloa - Inversor Particular</t>
  </si>
  <si>
    <t>Zaryn Dentzel - Inversor Particular</t>
  </si>
  <si>
    <t>Inversor en marketplaces como Guruwalk, co-Founder Rocket ROI</t>
  </si>
  <si>
    <t>SEO Manager en Wallapop, experiencia en Trovit y otros portales de clasificados. Inversor en Scoolinary y GoTrendier</t>
  </si>
  <si>
    <t>Pasión y curiosidad por el commercetech</t>
  </si>
  <si>
    <t>Fundador en The Cocktail, mentor en SeedRocket</t>
  </si>
  <si>
    <t>Experiencia empresarial en la industria de viajes</t>
  </si>
  <si>
    <t>Si startup ha alcanzado al menos 20k € de MRR</t>
  </si>
  <si>
    <t>Cofundador de Social Point</t>
  </si>
  <si>
    <t>Fundador de Lanta Ventures, no parece estar invirtiendo activamente</t>
  </si>
  <si>
    <t>BA, sin historial ni preferencia</t>
  </si>
  <si>
    <t>Exfundador de MyTaxi. Actualmente trabajando en la ronda de financiación de su nueva startup</t>
  </si>
  <si>
    <t>Inversor  Wallapop</t>
  </si>
  <si>
    <t>No activo</t>
  </si>
  <si>
    <t>Con base en EE. UU</t>
  </si>
  <si>
    <t>Fundador de Badi, por lo que tiene gran conocimiento de la dinámica de los marketplaces</t>
  </si>
  <si>
    <t>Respalda Goin y otros</t>
  </si>
  <si>
    <t>Sin historial público, ha invertido en Velca</t>
  </si>
  <si>
    <t>Especializado en Green Tech, anteriormente tuvo un fondo de venture capital</t>
  </si>
  <si>
    <t>Mentor en SeedRocket, agencia de marketing digital. Inversor en Tacter</t>
  </si>
  <si>
    <t>Inversor en 11 proyectos</t>
  </si>
  <si>
    <t>Con base en EE. UU. y ya no está invirtiendo</t>
  </si>
  <si>
    <t>Antes en  DeporVillage</t>
  </si>
  <si>
    <t>Fundador de Flywire, enfocado en ZubiLabs y venture debt</t>
  </si>
  <si>
    <t>Espacio tech y D2C, ex-Deliveroo, country manager de Treatwell</t>
  </si>
  <si>
    <t>Enfocado en B2B SaaS (English)</t>
  </si>
  <si>
    <t>Mentor en SeedRocket, business angel, fundador de Ticketea y advisor de marketplaces</t>
  </si>
  <si>
    <t>Presidente de Bankinter Startups y cofundador de Startupxplore
Buscando empresas en fase SEED
Fondos de hasta 30K€ por empresa
Equipos totalmente comprometidos
Normalmente 1–2 inversiones al año</t>
  </si>
  <si>
    <t>Fundador de Idealista</t>
  </si>
  <si>
    <t>Fundador de SeedRocket, focalizado en GoTrendier</t>
  </si>
  <si>
    <t>Sin tesis de inversión definida, pero su enfoque está en Retail y Tech</t>
  </si>
  <si>
    <t>Fundó y vendió un marketplace, pero solo ha realizado una inversión; tendremos que hablar para ver si está interesada</t>
  </si>
  <si>
    <t>CEO de Red Points, sin trayectoria como business angel</t>
  </si>
  <si>
    <t>nvierte activamente, rápido y en fases tempranas, en fundadores excepcionales que abordan grandes problemas en mercados emergentes a nivel global</t>
  </si>
  <si>
    <t>No muy activo, ex partner en Adara</t>
  </si>
  <si>
    <t>Requiere PMF y métricas</t>
  </si>
  <si>
    <t>Ha invertido en muchos marketplaces, como Blablacar. Enfocado en compañías B2C</t>
  </si>
  <si>
    <t>Muy activo, ha invertido en GuruWalk</t>
  </si>
  <si>
    <t>Fundador de 101 Startups y 101 Ventures. En el fondo invierten entre 500K y 1.5M. Fundador de un marketplace de bicicletas</t>
  </si>
  <si>
    <t>No parece estar invirtiendo activamente, pero es miembro de Barcelona Tech City, por lo que tiene una gran red de contactos</t>
  </si>
  <si>
    <t>Business angel, inversor y asesor en los sectores de Mobile, Media e Internet con enfoque global</t>
  </si>
  <si>
    <t>Inversor en RaceTick y Scoolinary, fundador de ElTenedor, actualmente en Luda</t>
  </si>
  <si>
    <t>Presidente de Kantox, mentor en SeedRocket y partner en 4Founders</t>
  </si>
  <si>
    <t>Fondo Bolsa Social, enfocado en proyectos con impacto social y tickets de 50K a 500K</t>
  </si>
  <si>
    <t>Presidente de AABAN con experiencia vendiendo 2 compañías</t>
  </si>
  <si>
    <t>Fundador de Rentalia y Toprural</t>
  </si>
  <si>
    <t>Fundador de un marketplace legal, mentor en SeedRocket</t>
  </si>
  <si>
    <t>https://vas.ventures/
 VAS Ventures es su vehículo de inversión</t>
  </si>
  <si>
    <t>Enfocado en ayudar más hacia Serie A</t>
  </si>
  <si>
    <t>Invierte solo a través de BAN</t>
  </si>
  <si>
    <t>Probablemente esté invirtiendo solo a través de Wayra, ya no a nivel individual</t>
  </si>
  <si>
    <t>Sin historial reciente, enfocado en proyectos de energía verde</t>
  </si>
  <si>
    <t>Escritor con experiencia levantando financiación y autor del libro Fundraising</t>
  </si>
  <si>
    <t>CEO de Atrápalo. Según su bio, interesado en startups en fase inicial</t>
  </si>
  <si>
    <t>Mentor en SeedRocket, fundador de Uvinum</t>
  </si>
  <si>
    <t>Inversor en marketplaces como Nannify y GuruWalk, cofundador de Rocket ROI</t>
  </si>
  <si>
    <t>Business angel en fase pre-seed, invierte en energía verde, pero aparte de eso no tiene una tesis clara. Invirtió en Flywire</t>
  </si>
  <si>
    <t>Business angel activo, LP en SeedRocket, enfocado en Moonoa</t>
  </si>
  <si>
    <t>Managing Partner en Intelectium, ayudó a Badi y Colvin a levantar financiación</t>
  </si>
  <si>
    <t>Inversor en Landbot</t>
  </si>
  <si>
    <t>Socio Smartech, invirtio in Colvin</t>
  </si>
  <si>
    <t>Invierte personalmente o via Vitamina K</t>
  </si>
  <si>
    <t>Business Angel activo en muchos sectores</t>
  </si>
  <si>
    <t>Sin historial público, ha invertido en Velca, partner en Deloitte</t>
  </si>
  <si>
    <t>Invirtió y salió de DogBuddy, un marketplace. No se sabe si invierte a título individual o a través de BetaAngels</t>
  </si>
  <si>
    <t>Inversor KFund</t>
  </si>
  <si>
    <t>Inversor NexusClips</t>
  </si>
  <si>
    <t>Business angel y inversor, sin historial</t>
  </si>
  <si>
    <t>Business angel relativamente activo, acaba de invertir en Hannun</t>
  </si>
  <si>
    <t>Manager Schibsted y Milanuncios</t>
  </si>
  <si>
    <t>Invierte en compañías tecnológicas (principalmente Fintech, Bio y Digital Health), sobre todo en fases pre-seed y seed. No somos un sector objetivo</t>
  </si>
  <si>
    <t>Business angel en Core Angels, enfocado en agrotech</t>
  </si>
  <si>
    <t>Mentor en SeedRocket, inversor en Tuvalum</t>
  </si>
  <si>
    <t>Enfocado en IA y ML, presidente de TalentClass</t>
  </si>
  <si>
    <t>Hay que mostrar algo de tracción antes de contactarles. Modelos B2B o B2C cuya ventaja competitiva resida en la tecnología. Siempre coinvierten con fondos más grandes.
Ticket de 50–150K</t>
  </si>
  <si>
    <t>Plataforma de crowdequity</t>
  </si>
  <si>
    <t>Inversor privado en servicios financieros (especialmente fintech), bienes de consumo y tecnología</t>
  </si>
  <si>
    <t>Enfoque en B2B, pero nunca se sabe en el futuro.
Series A o B</t>
  </si>
  <si>
    <t>Board Member en Encomenda</t>
  </si>
  <si>
    <t>Miembro de COREangels</t>
  </si>
  <si>
    <t>Equipos obsesionados: invertimos en emprendedores obsesionados con resolver grandes problemas. Fundadores que cambiarán industrias existentes o crearán nuevas a través de su visión y ejecución. Invierten en rondas seed y follow-on. Preferencia por productos que lleven unos meses en el mercado y demuestren clientes fieles y ventaja competitiva</t>
  </si>
  <si>
    <t>Minimo 1M round</t>
  </si>
  <si>
    <t>CEO de Coverfy, sin historial como inversor más allá de ser mentor en SeedRocket</t>
  </si>
  <si>
    <t>Experiencia en FMCG</t>
  </si>
  <si>
    <t>Cofundador de BlaBlaCar</t>
  </si>
  <si>
    <t>Cofundador de Seedtag</t>
  </si>
  <si>
    <t>Parece estar enfocado en MedTech</t>
  </si>
  <si>
    <t>Invierte a través de Viriditas, ticket de 50–150K</t>
  </si>
  <si>
    <t>Co-fundador Tuenti</t>
  </si>
  <si>
    <t>Prioritario?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</si>
</sst>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4" x14ac:knownFonts="1">
    <font>
      <sz val="10"/>
      <name val="Arial"/>
      <family val="2"/>
    </font>
    <font>
      <sz val="10"/>
      <color theme="1"/>
      <name val="Arial"/>
      <family val="2"/>
    </font>
    <font>
      <sz val="11"/>
      <color theme="1"/>
      <name val="Calibri"/>
      <family val="2"/>
      <scheme val="minor"/>
    </font>
    <font>
      <sz val="11"/>
      <color theme="1"/>
      <name val="Corbel"/>
      <family val="2"/>
    </font>
    <font>
      <b/>
      <sz val="11"/>
      <color theme="0"/>
      <name val="Corbel"/>
      <family val="2"/>
    </font>
    <font>
      <b/>
      <sz val="11"/>
      <color theme="0"/>
      <name val="Calibri"/>
      <family val="2"/>
      <scheme val="minor"/>
    </font>
    <font>
      <sz val="11"/>
      <color theme="3"/>
      <name val="Calibri"/>
      <family val="2"/>
      <scheme val="minor"/>
    </font>
    <font>
      <u/>
      <sz val="10"/>
      <color indexed="12"/>
      <name val="Arial"/>
      <family val="2"/>
    </font>
    <font>
      <sz val="10"/>
      <color theme="1"/>
      <name val="Arial"/>
      <family val="2"/>
    </font>
    <font>
      <sz val="10"/>
      <name val="Calibri"/>
      <family val="2"/>
    </font>
    <font>
      <sz val="13"/>
      <name val="Calibri"/>
      <family val="2"/>
    </font>
    <font>
      <sz val="10"/>
      <color rgb="FF000000"/>
      <name val="Arial"/>
      <family val="2"/>
    </font>
    <font>
      <u/>
      <sz val="10"/>
      <color rgb="FF0000FF"/>
      <name val="Arial"/>
      <family val="2"/>
    </font>
    <font>
      <u/>
      <sz val="10"/>
      <color indexed="24"/>
      <name val="Arial"/>
      <family val="2"/>
    </font>
    <font>
      <u/>
      <sz val="10"/>
      <color rgb="FF1155CC"/>
      <name val="Arial"/>
      <family val="2"/>
    </font>
    <font>
      <u/>
      <sz val="10"/>
      <color rgb="FF000000"/>
      <name val="Roboto"/>
    </font>
    <font>
      <sz val="10"/>
      <color rgb="FF000000"/>
      <name val="Roboto"/>
    </font>
    <font>
      <sz val="12"/>
      <name val="Calibri"/>
      <family val="2"/>
    </font>
    <font>
      <sz val="11"/>
      <name val="Calibri"/>
      <family val="2"/>
    </font>
    <font>
      <u/>
      <sz val="11"/>
      <color indexed="12"/>
      <name val="Arial"/>
      <family val="2"/>
    </font>
    <font>
      <u/>
      <sz val="11"/>
      <name val="Calibri"/>
      <family val="2"/>
    </font>
    <font>
      <b/>
      <sz val="11"/>
      <color theme="0"/>
      <name val="Arial Narrow"/>
      <family val="2"/>
    </font>
    <font>
      <b/>
      <sz val="11"/>
      <color rgb="FF002060"/>
      <name val="Arial Narrow"/>
      <family val="2"/>
    </font>
    <font>
      <sz val="11"/>
      <color rgb="FF002060"/>
      <name val="Arial Narrow"/>
      <family val="2"/>
    </font>
    <font>
      <i/>
      <sz val="11"/>
      <color rgb="FF002060"/>
      <name val="Arial Narrow"/>
      <family val="2"/>
    </font>
    <font>
      <b/>
      <sz val="11"/>
      <name val="Calibri"/>
      <family val="2"/>
      <scheme val="minor"/>
    </font>
    <font>
      <sz val="11"/>
      <name val="Calibri"/>
      <family val="2"/>
      <scheme val="minor"/>
    </font>
    <font>
      <b/>
      <sz val="14"/>
      <name val="Calibri"/>
      <family val="2"/>
      <scheme val="minor"/>
    </font>
    <font>
      <b/>
      <sz val="12"/>
      <name val="Calibri"/>
      <family val="2"/>
      <scheme val="minor"/>
    </font>
    <font>
      <b/>
      <u/>
      <sz val="11"/>
      <name val="Calibri"/>
      <family val="2"/>
      <scheme val="minor"/>
    </font>
    <font>
      <u/>
      <sz val="11"/>
      <name val="Calibri"/>
      <family val="2"/>
      <scheme val="minor"/>
    </font>
    <font>
      <sz val="22"/>
      <color theme="3"/>
      <name val="Calibri"/>
      <family val="2"/>
      <scheme val="minor"/>
    </font>
    <font>
      <b/>
      <sz val="22"/>
      <color theme="3"/>
      <name val="Calibri"/>
      <family val="2"/>
      <scheme val="minor"/>
    </font>
    <font>
      <b/>
      <sz val="13"/>
      <name val="Calibri"/>
      <family val="2"/>
    </font>
    <font>
      <sz val="16"/>
      <name val="Calibri"/>
      <family val="2"/>
    </font>
    <font>
      <b/>
      <sz val="14"/>
      <name val="Calibri"/>
      <family val="2"/>
    </font>
    <font>
      <b/>
      <sz val="10"/>
      <name val="Calibri"/>
      <family val="2"/>
      <scheme val="minor"/>
    </font>
    <font>
      <sz val="10"/>
      <name val="Calibri"/>
      <family val="2"/>
      <scheme val="minor"/>
    </font>
    <font>
      <b/>
      <sz val="11"/>
      <name val="Corbel"/>
      <family val="2"/>
    </font>
    <font>
      <u/>
      <sz val="10"/>
      <name val="Arial"/>
      <family val="2"/>
    </font>
    <font>
      <sz val="11"/>
      <name val="Corbel"/>
      <family val="2"/>
    </font>
    <font>
      <sz val="8"/>
      <name val="Roboto"/>
    </font>
    <font>
      <sz val="11"/>
      <color theme="1"/>
      <name val="Calibri"/>
      <family val="2"/>
      <scheme val="minor"/>
    </font>
    <font>
      <b/>
      <sz val="11"/>
      <color theme="1"/>
      <name val="Calibri"/>
      <family val="2"/>
      <scheme val="minor"/>
    </font>
    <font>
      <u/>
      <sz val="11"/>
      <color theme="10"/>
      <name val="Calibri"/>
      <family val="2"/>
      <scheme val="minor"/>
    </font>
    <font>
      <sz val="12"/>
      <color rgb="FFFF0000"/>
      <name val="Calibri"/>
      <family val="2"/>
    </font>
    <font>
      <u/>
      <sz val="10"/>
      <color theme="10"/>
      <name val="Arial"/>
      <family val="2"/>
    </font>
    <font>
      <b/>
      <sz val="10"/>
      <color rgb="FF000000"/>
      <name val="Arial"/>
    </font>
    <font>
      <b/>
      <sz val="11"/>
      <color rgb="FF000000"/>
      <name val="Calibri"/>
      <scheme val="minor"/>
    </font>
    <font>
      <b/>
      <sz val="10"/>
      <name val="Arial"/>
      <family val="2"/>
    </font>
    <font>
      <b/>
      <sz val="11"/>
      <color rgb="FF000000"/>
      <name val="Corbel"/>
    </font>
    <font>
      <b/>
      <sz val="11"/>
      <color rgb="FF000000"/>
      <name val="Calibri"/>
    </font>
    <font>
      <i/>
      <sz val="10"/>
      <color rgb="FF000000"/>
      <name val="Arial"/>
    </font>
    <font>
      <sz val="10"/>
      <color rgb="FF000000"/>
      <name val="Arial"/>
    </font>
  </fonts>
  <fills count="1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indexed="47"/>
        <bgColor indexed="64"/>
      </patternFill>
    </fill>
    <fill>
      <patternFill patternType="solid">
        <fgColor rgb="FFFFFFFF"/>
        <bgColor rgb="FFFFFFFF"/>
      </patternFill>
    </fill>
    <fill>
      <patternFill patternType="solid">
        <fgColor theme="0" tint="-0.34998626667073579"/>
        <bgColor indexed="64"/>
      </patternFill>
    </fill>
    <fill>
      <patternFill patternType="solid">
        <fgColor theme="0" tint="-0.249977111117893"/>
        <bgColor indexed="64"/>
      </patternFill>
    </fill>
    <fill>
      <patternFill patternType="solid">
        <fgColor theme="6"/>
        <bgColor indexed="64"/>
      </patternFill>
    </fill>
    <fill>
      <patternFill patternType="solid">
        <fgColor theme="6"/>
        <bgColor rgb="FFFFFFFF"/>
      </patternFill>
    </fill>
    <fill>
      <patternFill patternType="solid">
        <fgColor theme="9" tint="0.39997558519241921"/>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79998168889431442"/>
        <bgColor rgb="FFFFFFFF"/>
      </patternFill>
    </fill>
  </fills>
  <borders count="13">
    <border>
      <left/>
      <right/>
      <top/>
      <bottom/>
      <diagonal/>
    </border>
    <border>
      <left/>
      <right/>
      <top/>
      <bottom style="medium">
        <color theme="3"/>
      </bottom>
      <diagonal/>
    </border>
    <border>
      <left style="thin">
        <color indexed="64"/>
      </left>
      <right style="thin">
        <color indexed="64"/>
      </right>
      <top style="thin">
        <color indexed="64"/>
      </top>
      <bottom style="thin">
        <color indexed="64"/>
      </bottom>
      <diagonal/>
    </border>
    <border>
      <left style="thin">
        <color indexed="15"/>
      </left>
      <right style="thin">
        <color indexed="15"/>
      </right>
      <top style="thin">
        <color indexed="15"/>
      </top>
      <bottom/>
      <diagonal/>
    </border>
    <border>
      <left style="medium">
        <color theme="3"/>
      </left>
      <right style="thin">
        <color theme="3"/>
      </right>
      <top style="medium">
        <color theme="3"/>
      </top>
      <bottom/>
      <diagonal/>
    </border>
    <border>
      <left/>
      <right style="thin">
        <color theme="3"/>
      </right>
      <top style="medium">
        <color theme="3"/>
      </top>
      <bottom/>
      <diagonal/>
    </border>
    <border>
      <left style="thin">
        <color theme="3"/>
      </left>
      <right style="thin">
        <color theme="3"/>
      </right>
      <top style="medium">
        <color theme="3"/>
      </top>
      <bottom/>
      <diagonal/>
    </border>
    <border>
      <left style="thin">
        <color theme="3"/>
      </left>
      <right style="medium">
        <color theme="3"/>
      </right>
      <top style="medium">
        <color theme="3"/>
      </top>
      <bottom/>
      <diagonal/>
    </border>
    <border>
      <left style="thin">
        <color theme="3"/>
      </left>
      <right/>
      <top style="medium">
        <color theme="3"/>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42" fillId="0" borderId="0"/>
    <xf numFmtId="0" fontId="44" fillId="0" borderId="0" applyNumberFormat="0" applyFill="0" applyBorder="0" applyAlignment="0" applyProtection="0"/>
    <xf numFmtId="0" fontId="46" fillId="0" borderId="0" applyNumberFormat="0" applyFill="0" applyBorder="0" applyAlignment="0" applyProtection="0"/>
    <xf numFmtId="0" fontId="2" fillId="0" borderId="0"/>
  </cellStyleXfs>
  <cellXfs count="184">
    <xf numFmtId="0" fontId="0" fillId="0" borderId="0" xfId="0"/>
    <xf numFmtId="0" fontId="3" fillId="0" borderId="0" xfId="0" applyFont="1"/>
    <xf numFmtId="0" fontId="9" fillId="0" borderId="0" xfId="0" applyFont="1" applyAlignment="1">
      <alignment vertical="center"/>
    </xf>
    <xf numFmtId="0" fontId="10" fillId="0" borderId="0" xfId="0" applyFont="1" applyAlignment="1">
      <alignment vertical="center"/>
    </xf>
    <xf numFmtId="0" fontId="11" fillId="6" borderId="2" xfId="0" applyFont="1" applyFill="1" applyBorder="1"/>
    <xf numFmtId="0" fontId="12" fillId="6" borderId="2" xfId="0" applyFont="1" applyFill="1" applyBorder="1"/>
    <xf numFmtId="0" fontId="8" fillId="6" borderId="2" xfId="0" applyFont="1" applyFill="1" applyBorder="1"/>
    <xf numFmtId="0" fontId="8" fillId="6" borderId="2" xfId="0" applyFont="1" applyFill="1" applyBorder="1" applyAlignment="1">
      <alignment wrapText="1"/>
    </xf>
    <xf numFmtId="0" fontId="7" fillId="6" borderId="2" xfId="3" applyFont="1" applyFill="1" applyBorder="1" applyAlignment="1" applyProtection="1"/>
    <xf numFmtId="0" fontId="14" fillId="6" borderId="2" xfId="0" applyFont="1" applyFill="1" applyBorder="1"/>
    <xf numFmtId="0" fontId="0" fillId="0" borderId="2" xfId="0" applyBorder="1"/>
    <xf numFmtId="0" fontId="11" fillId="6" borderId="2" xfId="0" applyFont="1" applyFill="1" applyBorder="1" applyAlignment="1">
      <alignment wrapText="1"/>
    </xf>
    <xf numFmtId="0" fontId="15" fillId="6" borderId="2" xfId="0" applyFont="1" applyFill="1" applyBorder="1"/>
    <xf numFmtId="0" fontId="16" fillId="6" borderId="2" xfId="0" applyFont="1" applyFill="1" applyBorder="1"/>
    <xf numFmtId="0" fontId="17" fillId="0" borderId="0" xfId="0" applyFont="1" applyAlignment="1">
      <alignment horizontal="left" vertical="center"/>
    </xf>
    <xf numFmtId="0" fontId="17" fillId="0" borderId="0" xfId="0" applyFont="1" applyAlignment="1">
      <alignment horizontal="left" vertical="center" wrapText="1"/>
    </xf>
    <xf numFmtId="0" fontId="18" fillId="0" borderId="0" xfId="0" applyFont="1" applyAlignment="1">
      <alignment horizontal="left" vertical="center" indent="1"/>
    </xf>
    <xf numFmtId="0" fontId="18" fillId="0" borderId="0" xfId="0" applyFont="1" applyAlignment="1">
      <alignment horizontal="left" vertical="center"/>
    </xf>
    <xf numFmtId="0" fontId="18" fillId="0" borderId="0" xfId="0" applyFont="1" applyAlignment="1">
      <alignment horizontal="center" vertical="center"/>
    </xf>
    <xf numFmtId="0" fontId="18" fillId="0" borderId="0" xfId="0" applyFont="1" applyAlignment="1">
      <alignment vertical="center"/>
    </xf>
    <xf numFmtId="0" fontId="18" fillId="0" borderId="2" xfId="0" applyFont="1" applyBorder="1" applyAlignment="1">
      <alignment horizontal="center" vertical="center" wrapText="1"/>
    </xf>
    <xf numFmtId="0" fontId="18" fillId="0" borderId="2" xfId="0" applyFont="1" applyBorder="1" applyAlignment="1">
      <alignment horizontal="left" vertical="center" wrapText="1"/>
    </xf>
    <xf numFmtId="0" fontId="19" fillId="0" borderId="2" xfId="3" applyFont="1" applyFill="1" applyBorder="1" applyAlignment="1" applyProtection="1">
      <alignment horizontal="left" vertical="center" wrapText="1"/>
    </xf>
    <xf numFmtId="0" fontId="20" fillId="0" borderId="0" xfId="0" applyFont="1" applyAlignment="1">
      <alignment vertical="center" wrapText="1"/>
    </xf>
    <xf numFmtId="0" fontId="18" fillId="0" borderId="0" xfId="0" applyFont="1" applyAlignment="1">
      <alignment vertical="center" wrapText="1"/>
    </xf>
    <xf numFmtId="0" fontId="18" fillId="0" borderId="2" xfId="0" quotePrefix="1" applyFont="1" applyBorder="1" applyAlignment="1">
      <alignment horizontal="center" vertical="center" wrapText="1"/>
    </xf>
    <xf numFmtId="0" fontId="6" fillId="0" borderId="0" xfId="0" applyFont="1" applyAlignment="1">
      <alignment horizontal="center" vertical="center" wrapText="1"/>
    </xf>
    <xf numFmtId="0" fontId="21" fillId="2" borderId="4" xfId="0" applyFont="1" applyFill="1" applyBorder="1" applyAlignment="1">
      <alignment horizontal="center" vertical="center"/>
    </xf>
    <xf numFmtId="0" fontId="21" fillId="2" borderId="5" xfId="0" applyFont="1" applyFill="1" applyBorder="1" applyAlignment="1">
      <alignment horizontal="center" vertical="center"/>
    </xf>
    <xf numFmtId="0" fontId="21" fillId="2" borderId="6" xfId="0" applyFont="1" applyFill="1" applyBorder="1" applyAlignment="1">
      <alignment horizontal="center" vertical="center"/>
    </xf>
    <xf numFmtId="0" fontId="21" fillId="2" borderId="6" xfId="0" applyFont="1" applyFill="1" applyBorder="1" applyAlignment="1">
      <alignment horizontal="center" vertical="center" wrapText="1"/>
    </xf>
    <xf numFmtId="0" fontId="21" fillId="2" borderId="7" xfId="0" applyFont="1" applyFill="1" applyBorder="1" applyAlignment="1">
      <alignment horizontal="center" vertical="center"/>
    </xf>
    <xf numFmtId="0" fontId="22" fillId="3" borderId="2" xfId="0" applyFont="1" applyFill="1" applyBorder="1" applyAlignment="1">
      <alignment horizontal="center" vertical="center" wrapText="1"/>
    </xf>
    <xf numFmtId="0" fontId="23" fillId="3" borderId="2" xfId="0" applyFont="1" applyFill="1" applyBorder="1" applyAlignment="1">
      <alignment vertical="center" wrapText="1"/>
    </xf>
    <xf numFmtId="0" fontId="24" fillId="3" borderId="2" xfId="0" applyFont="1" applyFill="1" applyBorder="1" applyAlignment="1">
      <alignment vertical="center" wrapText="1"/>
    </xf>
    <xf numFmtId="0" fontId="25" fillId="0" borderId="0" xfId="0" applyFont="1"/>
    <xf numFmtId="164" fontId="26" fillId="0" borderId="0" xfId="0" applyNumberFormat="1" applyFont="1" applyAlignment="1">
      <alignment horizontal="left" vertical="center" indent="1"/>
    </xf>
    <xf numFmtId="164" fontId="26" fillId="0" borderId="0" xfId="0" applyNumberFormat="1" applyFont="1" applyAlignment="1">
      <alignment horizontal="left" vertical="center"/>
    </xf>
    <xf numFmtId="164" fontId="26" fillId="0" borderId="0" xfId="0" applyNumberFormat="1" applyFont="1" applyAlignment="1">
      <alignment horizontal="center" vertical="center"/>
    </xf>
    <xf numFmtId="164" fontId="25" fillId="0" borderId="0" xfId="0" applyNumberFormat="1" applyFont="1" applyAlignment="1">
      <alignment horizontal="center" vertical="center"/>
    </xf>
    <xf numFmtId="0" fontId="26" fillId="0" borderId="0" xfId="0" applyFont="1" applyAlignment="1">
      <alignment vertical="center"/>
    </xf>
    <xf numFmtId="0" fontId="25" fillId="0" borderId="0" xfId="0" applyFont="1" applyAlignment="1">
      <alignment vertical="center"/>
    </xf>
    <xf numFmtId="0" fontId="26" fillId="0" borderId="0" xfId="0" applyFont="1" applyAlignment="1">
      <alignment horizontal="left" vertical="center" indent="1"/>
    </xf>
    <xf numFmtId="0" fontId="26" fillId="0" borderId="0" xfId="0" applyFont="1" applyAlignment="1">
      <alignment horizontal="left" vertical="center"/>
    </xf>
    <xf numFmtId="0" fontId="26" fillId="0" borderId="0" xfId="0" applyFont="1" applyAlignment="1">
      <alignment horizontal="center" vertical="center"/>
    </xf>
    <xf numFmtId="0" fontId="25" fillId="0" borderId="0" xfId="0" applyFont="1" applyAlignment="1">
      <alignment horizontal="center" vertical="center"/>
    </xf>
    <xf numFmtId="0" fontId="28" fillId="7" borderId="0" xfId="0" applyFont="1" applyFill="1" applyAlignment="1">
      <alignment horizontal="left" vertical="center" wrapText="1" indent="1"/>
    </xf>
    <xf numFmtId="0" fontId="28" fillId="7" borderId="0" xfId="0" applyFont="1" applyFill="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vertical="center" wrapText="1"/>
    </xf>
    <xf numFmtId="0" fontId="30" fillId="0" borderId="0" xfId="3" applyFont="1" applyFill="1" applyBorder="1" applyAlignment="1" applyProtection="1">
      <alignment horizontal="center" vertical="center" wrapText="1"/>
    </xf>
    <xf numFmtId="0" fontId="31" fillId="0" borderId="0" xfId="0" applyFont="1" applyAlignment="1">
      <alignment vertical="center" wrapText="1"/>
    </xf>
    <xf numFmtId="0" fontId="31" fillId="0" borderId="1" xfId="0" applyFont="1" applyBorder="1" applyAlignment="1">
      <alignment vertical="center" wrapText="1"/>
    </xf>
    <xf numFmtId="0" fontId="33" fillId="7" borderId="2" xfId="0" applyFont="1" applyFill="1" applyBorder="1" applyAlignment="1">
      <alignment horizontal="center" vertical="center" wrapText="1"/>
    </xf>
    <xf numFmtId="0" fontId="35" fillId="7" borderId="3" xfId="0" applyFont="1" applyFill="1" applyBorder="1" applyAlignment="1">
      <alignment horizontal="center" vertical="center" wrapText="1"/>
    </xf>
    <xf numFmtId="0" fontId="29" fillId="0" borderId="0" xfId="0" applyFont="1" applyAlignment="1">
      <alignment vertical="center" wrapText="1"/>
    </xf>
    <xf numFmtId="0" fontId="26" fillId="0" borderId="0" xfId="0" applyFont="1" applyAlignment="1">
      <alignment horizontal="left" vertical="center" wrapText="1"/>
    </xf>
    <xf numFmtId="0" fontId="26" fillId="0" borderId="0" xfId="0" applyFont="1" applyAlignment="1">
      <alignment horizontal="center" vertical="center" wrapText="1"/>
    </xf>
    <xf numFmtId="0" fontId="36" fillId="0" borderId="0" xfId="0" applyFont="1" applyAlignment="1">
      <alignment horizontal="center" vertical="center" wrapText="1"/>
    </xf>
    <xf numFmtId="0" fontId="37" fillId="0" borderId="0" xfId="0" applyFont="1" applyAlignment="1">
      <alignment vertical="top"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5" fillId="2" borderId="5" xfId="0" applyFont="1" applyFill="1" applyBorder="1" applyAlignment="1">
      <alignment horizontal="center" vertical="center"/>
    </xf>
    <xf numFmtId="0" fontId="4" fillId="2" borderId="7" xfId="0" applyFont="1" applyFill="1" applyBorder="1" applyAlignment="1">
      <alignment horizontal="center" vertical="center" wrapText="1"/>
    </xf>
    <xf numFmtId="0" fontId="26" fillId="3" borderId="2" xfId="0" applyFont="1" applyFill="1" applyBorder="1" applyAlignment="1">
      <alignment horizontal="center" vertical="center" wrapText="1"/>
    </xf>
    <xf numFmtId="0" fontId="26" fillId="3" borderId="2" xfId="0" applyFont="1" applyFill="1" applyBorder="1" applyAlignment="1">
      <alignment horizontal="left" vertical="center" wrapText="1"/>
    </xf>
    <xf numFmtId="0" fontId="26" fillId="0" borderId="2" xfId="0" applyFont="1" applyBorder="1" applyAlignment="1">
      <alignment horizontal="center" vertical="center" wrapText="1"/>
    </xf>
    <xf numFmtId="0" fontId="38" fillId="0" borderId="2" xfId="0" applyFont="1" applyBorder="1" applyAlignment="1">
      <alignment horizontal="center" vertical="center"/>
    </xf>
    <xf numFmtId="0" fontId="0" fillId="0" borderId="2" xfId="0" applyBorder="1" applyAlignment="1">
      <alignment wrapText="1"/>
    </xf>
    <xf numFmtId="0" fontId="26" fillId="3" borderId="2" xfId="0" applyFont="1" applyFill="1" applyBorder="1" applyAlignment="1">
      <alignment horizontal="center" vertical="center"/>
    </xf>
    <xf numFmtId="0" fontId="39" fillId="3" borderId="2" xfId="3" applyFont="1" applyFill="1" applyBorder="1" applyAlignment="1" applyProtection="1">
      <alignment horizontal="center" vertical="center" wrapText="1"/>
    </xf>
    <xf numFmtId="0" fontId="40" fillId="0" borderId="2" xfId="0" applyFont="1" applyBorder="1"/>
    <xf numFmtId="0" fontId="26" fillId="0" borderId="2" xfId="0" applyFont="1" applyBorder="1" applyAlignment="1">
      <alignment horizontal="left" vertical="center" wrapText="1"/>
    </xf>
    <xf numFmtId="0" fontId="26" fillId="0" borderId="2" xfId="0" applyFont="1" applyBorder="1" applyAlignment="1">
      <alignment horizontal="center" vertical="center"/>
    </xf>
    <xf numFmtId="0" fontId="26" fillId="0" borderId="2" xfId="0" applyFont="1" applyBorder="1" applyAlignment="1">
      <alignment horizontal="justify" vertical="center"/>
    </xf>
    <xf numFmtId="0" fontId="41" fillId="0" borderId="2" xfId="0" applyFont="1" applyBorder="1"/>
    <xf numFmtId="0" fontId="39" fillId="0" borderId="2" xfId="3" applyFont="1" applyBorder="1" applyAlignment="1" applyProtection="1"/>
    <xf numFmtId="0" fontId="26" fillId="4" borderId="2" xfId="0" applyFont="1" applyFill="1" applyBorder="1" applyAlignment="1">
      <alignment horizontal="center" vertical="center" wrapText="1"/>
    </xf>
    <xf numFmtId="0" fontId="39" fillId="3" borderId="2" xfId="3" applyFont="1" applyFill="1" applyBorder="1" applyAlignment="1" applyProtection="1">
      <alignment horizontal="center" vertical="center"/>
    </xf>
    <xf numFmtId="0" fontId="39" fillId="0" borderId="2" xfId="3" applyFont="1" applyFill="1" applyBorder="1" applyAlignment="1" applyProtection="1">
      <alignment horizontal="center" vertical="center" wrapText="1"/>
    </xf>
    <xf numFmtId="0" fontId="44" fillId="0" borderId="0" xfId="2" applyAlignment="1">
      <alignment vertical="center" wrapText="1"/>
    </xf>
    <xf numFmtId="0" fontId="25" fillId="3" borderId="2" xfId="0" applyFont="1" applyFill="1" applyBorder="1" applyAlignment="1">
      <alignment horizontal="center" vertical="center" wrapText="1"/>
    </xf>
    <xf numFmtId="0" fontId="25" fillId="0" borderId="2" xfId="0" applyFont="1" applyBorder="1" applyAlignment="1">
      <alignment horizontal="center" vertical="center" wrapText="1"/>
    </xf>
    <xf numFmtId="0" fontId="25" fillId="0" borderId="2" xfId="0" applyFont="1" applyBorder="1" applyAlignment="1">
      <alignment horizontal="center" vertical="center"/>
    </xf>
    <xf numFmtId="0" fontId="45" fillId="0" borderId="0" xfId="0" applyFont="1" applyAlignment="1">
      <alignment horizontal="left" vertical="center"/>
    </xf>
    <xf numFmtId="0" fontId="47" fillId="0" borderId="0" xfId="0" applyFont="1"/>
    <xf numFmtId="0" fontId="0" fillId="0" borderId="0" xfId="0" applyAlignment="1">
      <alignment wrapText="1"/>
    </xf>
    <xf numFmtId="0" fontId="46" fillId="0" borderId="0" xfId="3" applyAlignment="1">
      <alignment horizontal="center" vertical="center" wrapText="1"/>
    </xf>
    <xf numFmtId="0" fontId="46" fillId="0" borderId="0" xfId="3"/>
    <xf numFmtId="0" fontId="48" fillId="0" borderId="0" xfId="0" applyFont="1" applyAlignment="1">
      <alignment vertical="center"/>
    </xf>
    <xf numFmtId="0" fontId="47" fillId="0" borderId="0" xfId="0" applyFont="1" applyAlignment="1">
      <alignment wrapText="1"/>
    </xf>
    <xf numFmtId="0" fontId="49" fillId="0" borderId="0" xfId="0" applyFont="1" applyAlignment="1">
      <alignment wrapText="1"/>
    </xf>
    <xf numFmtId="0" fontId="50" fillId="0" borderId="0" xfId="0" applyFont="1"/>
    <xf numFmtId="0" fontId="49" fillId="0" borderId="0" xfId="0" applyFont="1"/>
    <xf numFmtId="0" fontId="46" fillId="0" borderId="0" xfId="3" applyAlignment="1">
      <alignment wrapText="1"/>
    </xf>
    <xf numFmtId="0" fontId="51" fillId="0" borderId="0" xfId="0" applyFont="1" applyAlignment="1">
      <alignment vertical="center"/>
    </xf>
    <xf numFmtId="0" fontId="46" fillId="0" borderId="0" xfId="3" applyAlignment="1">
      <alignment vertical="center" wrapText="1"/>
    </xf>
    <xf numFmtId="0" fontId="52" fillId="0" borderId="0" xfId="0" applyFont="1" applyAlignment="1">
      <alignment wrapText="1"/>
    </xf>
    <xf numFmtId="0" fontId="23" fillId="3" borderId="2" xfId="0" applyFont="1" applyFill="1" applyBorder="1" applyAlignment="1">
      <alignment horizontal="center" vertical="center" wrapText="1"/>
    </xf>
    <xf numFmtId="0" fontId="7" fillId="0" borderId="0" xfId="3" applyFont="1" applyAlignment="1" applyProtection="1">
      <alignment horizontal="center" vertical="center"/>
    </xf>
    <xf numFmtId="0" fontId="7" fillId="0" borderId="2" xfId="3" applyFont="1" applyBorder="1" applyAlignment="1" applyProtection="1">
      <alignment horizontal="center" vertical="center"/>
    </xf>
    <xf numFmtId="0" fontId="0" fillId="0" borderId="0" xfId="0" applyAlignment="1">
      <alignment horizontal="center" vertical="center"/>
    </xf>
    <xf numFmtId="0" fontId="22" fillId="9" borderId="2" xfId="0" applyFont="1" applyFill="1" applyBorder="1" applyAlignment="1">
      <alignment horizontal="center" vertical="center" wrapText="1"/>
    </xf>
    <xf numFmtId="0" fontId="23" fillId="9" borderId="2" xfId="0" applyFont="1" applyFill="1" applyBorder="1" applyAlignment="1">
      <alignment vertical="center" wrapText="1"/>
    </xf>
    <xf numFmtId="0" fontId="24" fillId="9" borderId="2" xfId="0" applyFont="1" applyFill="1" applyBorder="1" applyAlignment="1">
      <alignment vertical="center" wrapText="1"/>
    </xf>
    <xf numFmtId="0" fontId="0" fillId="0" borderId="0" xfId="0" applyAlignment="1">
      <alignment horizontal="center"/>
    </xf>
    <xf numFmtId="0" fontId="2" fillId="0" borderId="0" xfId="4"/>
    <xf numFmtId="0" fontId="43" fillId="0" borderId="0" xfId="4" applyFont="1" applyAlignment="1">
      <alignment vertical="center" wrapText="1"/>
    </xf>
    <xf numFmtId="0" fontId="2" fillId="0" borderId="0" xfId="4" applyAlignment="1">
      <alignment vertical="center" wrapText="1"/>
    </xf>
    <xf numFmtId="0" fontId="43" fillId="8" borderId="0" xfId="4" applyFont="1" applyFill="1" applyAlignment="1">
      <alignment vertical="center" wrapText="1"/>
    </xf>
    <xf numFmtId="0" fontId="2" fillId="8" borderId="0" xfId="4" applyFill="1" applyAlignment="1">
      <alignment vertical="center" wrapText="1"/>
    </xf>
    <xf numFmtId="0" fontId="0" fillId="0" borderId="2" xfId="0" applyBorder="1" applyAlignment="1">
      <alignment vertical="center" wrapText="1"/>
    </xf>
    <xf numFmtId="0" fontId="7" fillId="0" borderId="0" xfId="3" applyFont="1" applyAlignment="1" applyProtection="1"/>
    <xf numFmtId="0" fontId="9" fillId="9" borderId="0" xfId="0" applyFont="1" applyFill="1" applyAlignment="1">
      <alignment vertical="center"/>
    </xf>
    <xf numFmtId="0" fontId="11" fillId="10" borderId="2" xfId="0" applyFont="1" applyFill="1" applyBorder="1"/>
    <xf numFmtId="0" fontId="12" fillId="10" borderId="2" xfId="0" applyFont="1" applyFill="1" applyBorder="1"/>
    <xf numFmtId="0" fontId="8" fillId="10" borderId="2" xfId="0" applyFont="1" applyFill="1" applyBorder="1"/>
    <xf numFmtId="0" fontId="7" fillId="10" borderId="2" xfId="3" applyFont="1" applyFill="1" applyBorder="1" applyAlignment="1" applyProtection="1"/>
    <xf numFmtId="0" fontId="8" fillId="10" borderId="2" xfId="0" applyFont="1" applyFill="1" applyBorder="1" applyAlignment="1">
      <alignment wrapText="1"/>
    </xf>
    <xf numFmtId="0" fontId="0" fillId="9" borderId="2" xfId="0" applyFill="1" applyBorder="1"/>
    <xf numFmtId="0" fontId="8" fillId="10" borderId="2" xfId="0" applyFont="1" applyFill="1" applyBorder="1" applyAlignment="1">
      <alignment horizontal="left" wrapText="1"/>
    </xf>
    <xf numFmtId="0" fontId="7" fillId="9" borderId="0" xfId="3" applyFont="1" applyFill="1" applyAlignment="1" applyProtection="1"/>
    <xf numFmtId="0" fontId="14" fillId="10" borderId="2" xfId="0" applyFont="1" applyFill="1" applyBorder="1"/>
    <xf numFmtId="0" fontId="12" fillId="10" borderId="2" xfId="0" applyFont="1" applyFill="1" applyBorder="1" applyAlignment="1">
      <alignment wrapText="1"/>
    </xf>
    <xf numFmtId="0" fontId="17" fillId="9" borderId="9" xfId="0" applyFont="1" applyFill="1" applyBorder="1" applyAlignment="1">
      <alignment horizontal="left" vertical="center"/>
    </xf>
    <xf numFmtId="0" fontId="17" fillId="9" borderId="2" xfId="0" applyFont="1" applyFill="1" applyBorder="1" applyAlignment="1">
      <alignment horizontal="left" vertical="center"/>
    </xf>
    <xf numFmtId="0" fontId="17" fillId="9" borderId="10" xfId="0" applyFont="1" applyFill="1" applyBorder="1" applyAlignment="1">
      <alignment horizontal="left" vertical="center"/>
    </xf>
    <xf numFmtId="0" fontId="17" fillId="9" borderId="2" xfId="0" applyFont="1" applyFill="1" applyBorder="1" applyAlignment="1">
      <alignment horizontal="left" vertical="center" wrapText="1"/>
    </xf>
    <xf numFmtId="0" fontId="17" fillId="9" borderId="11" xfId="0" applyFont="1" applyFill="1" applyBorder="1" applyAlignment="1">
      <alignment horizontal="left" vertical="center" wrapText="1"/>
    </xf>
    <xf numFmtId="0" fontId="11" fillId="10" borderId="2" xfId="0" applyFont="1" applyFill="1" applyBorder="1" applyAlignment="1">
      <alignment wrapText="1"/>
    </xf>
    <xf numFmtId="0" fontId="7" fillId="0" borderId="12" xfId="3" applyFont="1" applyBorder="1" applyAlignment="1" applyProtection="1"/>
    <xf numFmtId="0" fontId="7" fillId="0" borderId="2" xfId="3" applyFont="1" applyBorder="1" applyAlignment="1" applyProtection="1"/>
    <xf numFmtId="0" fontId="26" fillId="3" borderId="0" xfId="0" applyFont="1" applyFill="1" applyAlignment="1">
      <alignment horizontal="center" vertical="center" wrapText="1"/>
    </xf>
    <xf numFmtId="0" fontId="27" fillId="5" borderId="0" xfId="0" applyFont="1" applyFill="1" applyAlignment="1">
      <alignment horizontal="center" vertical="center"/>
    </xf>
    <xf numFmtId="0" fontId="32" fillId="0" borderId="0" xfId="0" applyFont="1" applyAlignment="1">
      <alignment horizontal="center" vertical="center" wrapText="1"/>
    </xf>
    <xf numFmtId="0" fontId="34" fillId="5" borderId="0" xfId="0" applyFont="1" applyFill="1" applyAlignment="1">
      <alignment horizontal="center" vertical="center"/>
    </xf>
    <xf numFmtId="0" fontId="49" fillId="0" borderId="2" xfId="0" applyFont="1" applyBorder="1"/>
    <xf numFmtId="0" fontId="43" fillId="0" borderId="2" xfId="4" applyFont="1" applyBorder="1"/>
    <xf numFmtId="0" fontId="46" fillId="3" borderId="2" xfId="3" applyFill="1" applyBorder="1" applyAlignment="1">
      <alignment vertical="center" wrapText="1"/>
    </xf>
    <xf numFmtId="0" fontId="21" fillId="11" borderId="8" xfId="0" applyFont="1" applyFill="1" applyBorder="1" applyAlignment="1">
      <alignment horizontal="center" vertical="center"/>
    </xf>
    <xf numFmtId="0" fontId="49" fillId="11" borderId="2" xfId="0" applyFont="1" applyFill="1" applyBorder="1"/>
    <xf numFmtId="0" fontId="4" fillId="11" borderId="5" xfId="0" applyFont="1" applyFill="1" applyBorder="1" applyAlignment="1">
      <alignment horizontal="center" vertical="center" wrapText="1"/>
    </xf>
    <xf numFmtId="0" fontId="33" fillId="11" borderId="2" xfId="0" applyFont="1" applyFill="1" applyBorder="1" applyAlignment="1">
      <alignment horizontal="center" vertical="center" wrapText="1"/>
    </xf>
    <xf numFmtId="0" fontId="28" fillId="11" borderId="0" xfId="0" applyFont="1" applyFill="1" applyAlignment="1">
      <alignment horizontal="center" vertical="center" wrapText="1"/>
    </xf>
    <xf numFmtId="0" fontId="26" fillId="12" borderId="2" xfId="0" applyFont="1" applyFill="1" applyBorder="1" applyAlignment="1">
      <alignment horizontal="center" vertical="center" wrapText="1"/>
    </xf>
    <xf numFmtId="0" fontId="22" fillId="13" borderId="2" xfId="0" applyFont="1" applyFill="1" applyBorder="1" applyAlignment="1">
      <alignment horizontal="center" vertical="center" wrapText="1"/>
    </xf>
    <xf numFmtId="0" fontId="28" fillId="11" borderId="2" xfId="0" applyFont="1" applyFill="1" applyBorder="1" applyAlignment="1">
      <alignment horizontal="center" vertical="center" wrapText="1"/>
    </xf>
    <xf numFmtId="49" fontId="28" fillId="11" borderId="2" xfId="0" applyNumberFormat="1" applyFont="1" applyFill="1" applyBorder="1" applyAlignment="1">
      <alignment horizontal="center" vertical="center" wrapText="1"/>
    </xf>
    <xf numFmtId="49" fontId="26" fillId="0" borderId="2" xfId="0" applyNumberFormat="1" applyFont="1" applyBorder="1" applyAlignment="1">
      <alignment horizontal="center" vertical="center" wrapText="1"/>
    </xf>
    <xf numFmtId="0" fontId="46" fillId="0" borderId="2" xfId="3" applyBorder="1" applyAlignment="1">
      <alignment horizontal="center" vertical="center" wrapText="1"/>
    </xf>
    <xf numFmtId="49" fontId="46" fillId="0" borderId="2" xfId="3" applyNumberFormat="1" applyBorder="1"/>
    <xf numFmtId="0" fontId="46" fillId="0" borderId="2" xfId="3" applyBorder="1" applyAlignment="1">
      <alignment wrapText="1"/>
    </xf>
    <xf numFmtId="0" fontId="26" fillId="0" borderId="2" xfId="0" applyFont="1" applyFill="1" applyBorder="1" applyAlignment="1">
      <alignment horizontal="left" vertical="center" wrapText="1"/>
    </xf>
    <xf numFmtId="49" fontId="26" fillId="0" borderId="2" xfId="0" applyNumberFormat="1" applyFont="1" applyFill="1" applyBorder="1" applyAlignment="1">
      <alignment horizontal="center" vertical="center" wrapText="1"/>
    </xf>
    <xf numFmtId="0" fontId="26" fillId="0" borderId="2" xfId="0" applyFont="1" applyFill="1" applyBorder="1" applyAlignment="1">
      <alignment horizontal="center" vertical="center" wrapText="1"/>
    </xf>
    <xf numFmtId="0" fontId="0" fillId="0" borderId="2" xfId="0" applyFill="1" applyBorder="1"/>
    <xf numFmtId="0" fontId="30" fillId="0" borderId="2" xfId="3" applyFont="1" applyFill="1" applyBorder="1" applyAlignment="1" applyProtection="1">
      <alignment horizontal="center" vertical="center" wrapText="1"/>
    </xf>
    <xf numFmtId="49" fontId="0" fillId="0" borderId="2" xfId="0" applyNumberFormat="1" applyBorder="1"/>
    <xf numFmtId="0" fontId="3" fillId="0" borderId="2" xfId="0" applyFont="1" applyBorder="1"/>
    <xf numFmtId="0" fontId="46" fillId="0" borderId="2" xfId="3" applyBorder="1"/>
    <xf numFmtId="0" fontId="0" fillId="12" borderId="2" xfId="0" applyFill="1" applyBorder="1"/>
    <xf numFmtId="0" fontId="3" fillId="12" borderId="2" xfId="0" applyFont="1" applyFill="1" applyBorder="1"/>
    <xf numFmtId="0" fontId="46" fillId="12" borderId="2" xfId="3" applyFill="1" applyBorder="1"/>
    <xf numFmtId="0" fontId="0" fillId="0" borderId="2" xfId="0" applyBorder="1" applyAlignment="1">
      <alignment horizontal="center" vertical="center"/>
    </xf>
    <xf numFmtId="0" fontId="0" fillId="12" borderId="2" xfId="0" applyFill="1" applyBorder="1" applyAlignment="1">
      <alignment wrapText="1"/>
    </xf>
    <xf numFmtId="49" fontId="0" fillId="12" borderId="2" xfId="0" applyNumberFormat="1" applyFill="1" applyBorder="1"/>
    <xf numFmtId="0" fontId="26" fillId="12" borderId="2" xfId="0" applyFont="1" applyFill="1" applyBorder="1" applyAlignment="1">
      <alignment horizontal="left" vertical="center" wrapText="1"/>
    </xf>
    <xf numFmtId="49" fontId="26" fillId="12" borderId="2" xfId="0" applyNumberFormat="1" applyFont="1" applyFill="1" applyBorder="1" applyAlignment="1">
      <alignment horizontal="center" vertical="center" wrapText="1"/>
    </xf>
    <xf numFmtId="0" fontId="46" fillId="12" borderId="2" xfId="3" applyFill="1" applyBorder="1" applyAlignment="1">
      <alignment horizontal="center" vertical="center" wrapText="1"/>
    </xf>
    <xf numFmtId="0" fontId="22" fillId="12" borderId="2" xfId="0" applyFont="1" applyFill="1" applyBorder="1" applyAlignment="1">
      <alignment horizontal="center" vertical="center" wrapText="1"/>
    </xf>
    <xf numFmtId="0" fontId="18" fillId="14" borderId="2" xfId="0" quotePrefix="1" applyFont="1" applyFill="1" applyBorder="1" applyAlignment="1">
      <alignment horizontal="center" vertical="center" wrapText="1"/>
    </xf>
    <xf numFmtId="0" fontId="46" fillId="0" borderId="2" xfId="3" applyBorder="1" applyAlignment="1">
      <alignment horizontal="left" vertical="center" wrapText="1"/>
    </xf>
    <xf numFmtId="0" fontId="0" fillId="14" borderId="0" xfId="0" applyFill="1"/>
    <xf numFmtId="0" fontId="18" fillId="14" borderId="2" xfId="0" applyFont="1" applyFill="1" applyBorder="1" applyAlignment="1">
      <alignment horizontal="center" vertical="center" wrapText="1"/>
    </xf>
    <xf numFmtId="0" fontId="18" fillId="14" borderId="2" xfId="0" applyFont="1" applyFill="1" applyBorder="1" applyAlignment="1">
      <alignment horizontal="left" vertical="center" wrapText="1"/>
    </xf>
    <xf numFmtId="0" fontId="46" fillId="14" borderId="0" xfId="3" applyFill="1" applyAlignment="1">
      <alignment vertical="center" wrapText="1"/>
    </xf>
    <xf numFmtId="0" fontId="18" fillId="14" borderId="0" xfId="0" applyFont="1" applyFill="1" applyAlignment="1">
      <alignment vertical="center" wrapText="1"/>
    </xf>
    <xf numFmtId="49" fontId="0" fillId="0" borderId="2" xfId="0" applyNumberFormat="1" applyBorder="1" applyAlignment="1">
      <alignment wrapText="1"/>
    </xf>
    <xf numFmtId="0" fontId="46" fillId="14" borderId="2" xfId="3" applyFill="1" applyBorder="1" applyAlignment="1">
      <alignment horizontal="left" vertical="center" wrapText="1"/>
    </xf>
    <xf numFmtId="0" fontId="46" fillId="0" borderId="2" xfId="3" applyFill="1" applyBorder="1" applyAlignment="1" applyProtection="1">
      <alignment horizontal="center" vertical="center" wrapText="1"/>
    </xf>
    <xf numFmtId="0" fontId="1" fillId="6" borderId="2" xfId="0" applyFont="1" applyFill="1" applyBorder="1" applyAlignment="1">
      <alignment wrapText="1"/>
    </xf>
    <xf numFmtId="0" fontId="1" fillId="10" borderId="2" xfId="0" applyFont="1" applyFill="1" applyBorder="1" applyAlignment="1">
      <alignment wrapText="1"/>
    </xf>
    <xf numFmtId="0" fontId="46" fillId="10" borderId="2" xfId="3" applyFill="1" applyBorder="1" applyAlignment="1">
      <alignment wrapText="1"/>
    </xf>
    <xf numFmtId="0" fontId="1" fillId="15" borderId="2" xfId="0" applyFont="1" applyFill="1" applyBorder="1" applyAlignment="1">
      <alignment wrapText="1"/>
    </xf>
  </cellXfs>
  <cellStyles count="5">
    <cellStyle name="Hipervínculo 2" xfId="2" xr:uid="{A981EF89-0E01-4080-8E2A-F0C4E3FB0836}"/>
    <cellStyle name="Hyperlink" xfId="3" builtinId="8"/>
    <cellStyle name="Normal" xfId="0" builtinId="0"/>
    <cellStyle name="Normal 2" xfId="1" xr:uid="{4F38C562-3D9A-4D46-B11D-674D11822968}"/>
    <cellStyle name="Normal 2 2" xfId="4" xr:uid="{5B5A205D-522D-448C-94CF-ECA004484AE9}"/>
  </cellStyles>
  <dxfs count="4">
    <dxf>
      <font>
        <color indexed="30"/>
      </font>
      <fill>
        <patternFill>
          <bgColor indexed="34"/>
        </patternFill>
      </fill>
    </dxf>
    <dxf>
      <font>
        <color rgb="FF9C0006"/>
      </font>
      <fill>
        <patternFill>
          <bgColor rgb="FFFFC7CE"/>
        </patternFill>
      </fill>
    </dxf>
    <dxf>
      <font>
        <color indexed="30"/>
      </font>
      <fill>
        <patternFill>
          <bgColor indexed="34"/>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66675</xdr:colOff>
      <xdr:row>4</xdr:row>
      <xdr:rowOff>0</xdr:rowOff>
    </xdr:from>
    <xdr:to>
      <xdr:col>0</xdr:col>
      <xdr:colOff>66675</xdr:colOff>
      <xdr:row>4</xdr:row>
      <xdr:rowOff>0</xdr:rowOff>
    </xdr:to>
    <xdr:sp macro="" textlink="">
      <xdr:nvSpPr>
        <xdr:cNvPr id="2" name="Line 11">
          <a:extLst>
            <a:ext uri="{FF2B5EF4-FFF2-40B4-BE49-F238E27FC236}">
              <a16:creationId xmlns:a16="http://schemas.microsoft.com/office/drawing/2014/main" id="{D2655172-0822-4B48-A092-0BD45169AF13}"/>
            </a:ext>
          </a:extLst>
        </xdr:cNvPr>
        <xdr:cNvSpPr>
          <a:spLocks noChangeShapeType="1"/>
        </xdr:cNvSpPr>
      </xdr:nvSpPr>
      <xdr:spPr bwMode="auto">
        <a:xfrm flipV="1">
          <a:off x="219075" y="390525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4</xdr:row>
      <xdr:rowOff>0</xdr:rowOff>
    </xdr:from>
    <xdr:to>
      <xdr:col>0</xdr:col>
      <xdr:colOff>66675</xdr:colOff>
      <xdr:row>4</xdr:row>
      <xdr:rowOff>0</xdr:rowOff>
    </xdr:to>
    <xdr:sp macro="" textlink="">
      <xdr:nvSpPr>
        <xdr:cNvPr id="3" name="Line 37">
          <a:extLst>
            <a:ext uri="{FF2B5EF4-FFF2-40B4-BE49-F238E27FC236}">
              <a16:creationId xmlns:a16="http://schemas.microsoft.com/office/drawing/2014/main" id="{154A5EED-4C47-486C-841A-5BE836960DD6}"/>
            </a:ext>
          </a:extLst>
        </xdr:cNvPr>
        <xdr:cNvSpPr>
          <a:spLocks noChangeShapeType="1"/>
        </xdr:cNvSpPr>
      </xdr:nvSpPr>
      <xdr:spPr bwMode="auto">
        <a:xfrm flipV="1">
          <a:off x="219075" y="390525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4</xdr:row>
      <xdr:rowOff>0</xdr:rowOff>
    </xdr:from>
    <xdr:to>
      <xdr:col>0</xdr:col>
      <xdr:colOff>66675</xdr:colOff>
      <xdr:row>4</xdr:row>
      <xdr:rowOff>0</xdr:rowOff>
    </xdr:to>
    <xdr:sp macro="" textlink="">
      <xdr:nvSpPr>
        <xdr:cNvPr id="4" name="Line 42">
          <a:extLst>
            <a:ext uri="{FF2B5EF4-FFF2-40B4-BE49-F238E27FC236}">
              <a16:creationId xmlns:a16="http://schemas.microsoft.com/office/drawing/2014/main" id="{94E4A434-0EFF-454C-BFE3-DA0135C82063}"/>
            </a:ext>
          </a:extLst>
        </xdr:cNvPr>
        <xdr:cNvSpPr>
          <a:spLocks noChangeShapeType="1"/>
        </xdr:cNvSpPr>
      </xdr:nvSpPr>
      <xdr:spPr bwMode="auto">
        <a:xfrm flipV="1">
          <a:off x="219075" y="390525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4</xdr:row>
      <xdr:rowOff>0</xdr:rowOff>
    </xdr:from>
    <xdr:to>
      <xdr:col>0</xdr:col>
      <xdr:colOff>66675</xdr:colOff>
      <xdr:row>4</xdr:row>
      <xdr:rowOff>0</xdr:rowOff>
    </xdr:to>
    <xdr:sp macro="" textlink="">
      <xdr:nvSpPr>
        <xdr:cNvPr id="5" name="Line 46">
          <a:extLst>
            <a:ext uri="{FF2B5EF4-FFF2-40B4-BE49-F238E27FC236}">
              <a16:creationId xmlns:a16="http://schemas.microsoft.com/office/drawing/2014/main" id="{23C585AB-3ADC-4C59-A138-40BB9B59A0B1}"/>
            </a:ext>
          </a:extLst>
        </xdr:cNvPr>
        <xdr:cNvSpPr>
          <a:spLocks noChangeShapeType="1"/>
        </xdr:cNvSpPr>
      </xdr:nvSpPr>
      <xdr:spPr bwMode="auto">
        <a:xfrm flipV="1">
          <a:off x="219075" y="390525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4</xdr:row>
      <xdr:rowOff>0</xdr:rowOff>
    </xdr:from>
    <xdr:to>
      <xdr:col>0</xdr:col>
      <xdr:colOff>66675</xdr:colOff>
      <xdr:row>4</xdr:row>
      <xdr:rowOff>0</xdr:rowOff>
    </xdr:to>
    <xdr:sp macro="" textlink="">
      <xdr:nvSpPr>
        <xdr:cNvPr id="6" name="Line 50">
          <a:extLst>
            <a:ext uri="{FF2B5EF4-FFF2-40B4-BE49-F238E27FC236}">
              <a16:creationId xmlns:a16="http://schemas.microsoft.com/office/drawing/2014/main" id="{3483B655-6209-4DAB-8248-7594E4A04C0B}"/>
            </a:ext>
          </a:extLst>
        </xdr:cNvPr>
        <xdr:cNvSpPr>
          <a:spLocks noChangeShapeType="1"/>
        </xdr:cNvSpPr>
      </xdr:nvSpPr>
      <xdr:spPr bwMode="auto">
        <a:xfrm flipV="1">
          <a:off x="219075" y="390525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4</xdr:row>
      <xdr:rowOff>0</xdr:rowOff>
    </xdr:from>
    <xdr:to>
      <xdr:col>0</xdr:col>
      <xdr:colOff>66675</xdr:colOff>
      <xdr:row>4</xdr:row>
      <xdr:rowOff>0</xdr:rowOff>
    </xdr:to>
    <xdr:sp macro="" textlink="">
      <xdr:nvSpPr>
        <xdr:cNvPr id="7" name="Line 54">
          <a:extLst>
            <a:ext uri="{FF2B5EF4-FFF2-40B4-BE49-F238E27FC236}">
              <a16:creationId xmlns:a16="http://schemas.microsoft.com/office/drawing/2014/main" id="{870A26F5-96F3-4DFB-B3E9-338B237A26F4}"/>
            </a:ext>
          </a:extLst>
        </xdr:cNvPr>
        <xdr:cNvSpPr>
          <a:spLocks noChangeShapeType="1"/>
        </xdr:cNvSpPr>
      </xdr:nvSpPr>
      <xdr:spPr bwMode="auto">
        <a:xfrm flipV="1">
          <a:off x="219075" y="390525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4</xdr:row>
      <xdr:rowOff>0</xdr:rowOff>
    </xdr:from>
    <xdr:to>
      <xdr:col>0</xdr:col>
      <xdr:colOff>66675</xdr:colOff>
      <xdr:row>4</xdr:row>
      <xdr:rowOff>0</xdr:rowOff>
    </xdr:to>
    <xdr:sp macro="" textlink="">
      <xdr:nvSpPr>
        <xdr:cNvPr id="8" name="Line 58">
          <a:extLst>
            <a:ext uri="{FF2B5EF4-FFF2-40B4-BE49-F238E27FC236}">
              <a16:creationId xmlns:a16="http://schemas.microsoft.com/office/drawing/2014/main" id="{A14AC762-A99F-48AD-A263-E9065314D6D0}"/>
            </a:ext>
          </a:extLst>
        </xdr:cNvPr>
        <xdr:cNvSpPr>
          <a:spLocks noChangeShapeType="1"/>
        </xdr:cNvSpPr>
      </xdr:nvSpPr>
      <xdr:spPr bwMode="auto">
        <a:xfrm flipV="1">
          <a:off x="219075" y="390525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4</xdr:row>
      <xdr:rowOff>0</xdr:rowOff>
    </xdr:from>
    <xdr:to>
      <xdr:col>0</xdr:col>
      <xdr:colOff>66675</xdr:colOff>
      <xdr:row>4</xdr:row>
      <xdr:rowOff>0</xdr:rowOff>
    </xdr:to>
    <xdr:sp macro="" textlink="">
      <xdr:nvSpPr>
        <xdr:cNvPr id="9" name="Line 62">
          <a:extLst>
            <a:ext uri="{FF2B5EF4-FFF2-40B4-BE49-F238E27FC236}">
              <a16:creationId xmlns:a16="http://schemas.microsoft.com/office/drawing/2014/main" id="{D412B0EF-6389-4DD3-9120-0D040B9C33E6}"/>
            </a:ext>
          </a:extLst>
        </xdr:cNvPr>
        <xdr:cNvSpPr>
          <a:spLocks noChangeShapeType="1"/>
        </xdr:cNvSpPr>
      </xdr:nvSpPr>
      <xdr:spPr bwMode="auto">
        <a:xfrm flipV="1">
          <a:off x="219075" y="390525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4</xdr:row>
      <xdr:rowOff>0</xdr:rowOff>
    </xdr:from>
    <xdr:to>
      <xdr:col>0</xdr:col>
      <xdr:colOff>66675</xdr:colOff>
      <xdr:row>4</xdr:row>
      <xdr:rowOff>0</xdr:rowOff>
    </xdr:to>
    <xdr:sp macro="" textlink="">
      <xdr:nvSpPr>
        <xdr:cNvPr id="10" name="Line 66">
          <a:extLst>
            <a:ext uri="{FF2B5EF4-FFF2-40B4-BE49-F238E27FC236}">
              <a16:creationId xmlns:a16="http://schemas.microsoft.com/office/drawing/2014/main" id="{D1A31477-3AA9-4F21-9FD0-8E9C0ADEFDD6}"/>
            </a:ext>
          </a:extLst>
        </xdr:cNvPr>
        <xdr:cNvSpPr>
          <a:spLocks noChangeShapeType="1"/>
        </xdr:cNvSpPr>
      </xdr:nvSpPr>
      <xdr:spPr bwMode="auto">
        <a:xfrm flipV="1">
          <a:off x="219075" y="390525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oneCellAnchor>
    <xdr:from>
      <xdr:col>3</xdr:col>
      <xdr:colOff>0</xdr:colOff>
      <xdr:row>76</xdr:row>
      <xdr:rowOff>0</xdr:rowOff>
    </xdr:from>
    <xdr:ext cx="295275" cy="409575"/>
    <xdr:sp macro="" textlink="">
      <xdr:nvSpPr>
        <xdr:cNvPr id="11" name="AutoShape 1024">
          <a:extLst>
            <a:ext uri="{FF2B5EF4-FFF2-40B4-BE49-F238E27FC236}">
              <a16:creationId xmlns:a16="http://schemas.microsoft.com/office/drawing/2014/main" id="{07968F9B-759A-4A91-84DD-7E7489CB770C}"/>
            </a:ext>
          </a:extLst>
        </xdr:cNvPr>
        <xdr:cNvSpPr>
          <a:spLocks noChangeAspect="1" noChangeArrowheads="1"/>
        </xdr:cNvSpPr>
      </xdr:nvSpPr>
      <xdr:spPr bwMode="auto">
        <a:xfrm>
          <a:off x="34013775" y="25774650"/>
          <a:ext cx="2952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76</xdr:row>
      <xdr:rowOff>0</xdr:rowOff>
    </xdr:from>
    <xdr:ext cx="295275" cy="409575"/>
    <xdr:sp macro="" textlink="">
      <xdr:nvSpPr>
        <xdr:cNvPr id="12" name="AutoShape 1024">
          <a:extLst>
            <a:ext uri="{FF2B5EF4-FFF2-40B4-BE49-F238E27FC236}">
              <a16:creationId xmlns:a16="http://schemas.microsoft.com/office/drawing/2014/main" id="{0043320D-51B5-441E-85CD-F810456368A7}"/>
            </a:ext>
          </a:extLst>
        </xdr:cNvPr>
        <xdr:cNvSpPr>
          <a:spLocks noChangeAspect="1" noChangeArrowheads="1"/>
        </xdr:cNvSpPr>
      </xdr:nvSpPr>
      <xdr:spPr bwMode="auto">
        <a:xfrm>
          <a:off x="6000750" y="22507575"/>
          <a:ext cx="2952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0</xdr:col>
      <xdr:colOff>66675</xdr:colOff>
      <xdr:row>101</xdr:row>
      <xdr:rowOff>0</xdr:rowOff>
    </xdr:from>
    <xdr:to>
      <xdr:col>0</xdr:col>
      <xdr:colOff>66675</xdr:colOff>
      <xdr:row>101</xdr:row>
      <xdr:rowOff>0</xdr:rowOff>
    </xdr:to>
    <xdr:sp macro="" textlink="">
      <xdr:nvSpPr>
        <xdr:cNvPr id="13" name="Line 11">
          <a:extLst>
            <a:ext uri="{FF2B5EF4-FFF2-40B4-BE49-F238E27FC236}">
              <a16:creationId xmlns:a16="http://schemas.microsoft.com/office/drawing/2014/main" id="{63A83B6A-1216-4B06-B617-92849F91CC27}"/>
            </a:ext>
          </a:extLst>
        </xdr:cNvPr>
        <xdr:cNvSpPr>
          <a:spLocks noChangeShapeType="1"/>
        </xdr:cNvSpPr>
      </xdr:nvSpPr>
      <xdr:spPr bwMode="auto">
        <a:xfrm flipV="1">
          <a:off x="219075"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101</xdr:row>
      <xdr:rowOff>0</xdr:rowOff>
    </xdr:from>
    <xdr:to>
      <xdr:col>0</xdr:col>
      <xdr:colOff>66675</xdr:colOff>
      <xdr:row>101</xdr:row>
      <xdr:rowOff>0</xdr:rowOff>
    </xdr:to>
    <xdr:sp macro="" textlink="">
      <xdr:nvSpPr>
        <xdr:cNvPr id="14" name="Line 37">
          <a:extLst>
            <a:ext uri="{FF2B5EF4-FFF2-40B4-BE49-F238E27FC236}">
              <a16:creationId xmlns:a16="http://schemas.microsoft.com/office/drawing/2014/main" id="{30EBCDF5-F0F9-4EDF-997B-951CC854AC37}"/>
            </a:ext>
          </a:extLst>
        </xdr:cNvPr>
        <xdr:cNvSpPr>
          <a:spLocks noChangeShapeType="1"/>
        </xdr:cNvSpPr>
      </xdr:nvSpPr>
      <xdr:spPr bwMode="auto">
        <a:xfrm flipV="1">
          <a:off x="219075"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101</xdr:row>
      <xdr:rowOff>0</xdr:rowOff>
    </xdr:from>
    <xdr:to>
      <xdr:col>0</xdr:col>
      <xdr:colOff>66675</xdr:colOff>
      <xdr:row>101</xdr:row>
      <xdr:rowOff>0</xdr:rowOff>
    </xdr:to>
    <xdr:sp macro="" textlink="">
      <xdr:nvSpPr>
        <xdr:cNvPr id="15" name="Line 42">
          <a:extLst>
            <a:ext uri="{FF2B5EF4-FFF2-40B4-BE49-F238E27FC236}">
              <a16:creationId xmlns:a16="http://schemas.microsoft.com/office/drawing/2014/main" id="{2B7D1F71-9147-43B9-9CCA-9598D0F500C3}"/>
            </a:ext>
          </a:extLst>
        </xdr:cNvPr>
        <xdr:cNvSpPr>
          <a:spLocks noChangeShapeType="1"/>
        </xdr:cNvSpPr>
      </xdr:nvSpPr>
      <xdr:spPr bwMode="auto">
        <a:xfrm flipV="1">
          <a:off x="219075"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101</xdr:row>
      <xdr:rowOff>0</xdr:rowOff>
    </xdr:from>
    <xdr:to>
      <xdr:col>0</xdr:col>
      <xdr:colOff>66675</xdr:colOff>
      <xdr:row>101</xdr:row>
      <xdr:rowOff>0</xdr:rowOff>
    </xdr:to>
    <xdr:sp macro="" textlink="">
      <xdr:nvSpPr>
        <xdr:cNvPr id="16" name="Line 46">
          <a:extLst>
            <a:ext uri="{FF2B5EF4-FFF2-40B4-BE49-F238E27FC236}">
              <a16:creationId xmlns:a16="http://schemas.microsoft.com/office/drawing/2014/main" id="{EDEB5C8C-8209-4D1C-99CC-BFA25A45A702}"/>
            </a:ext>
          </a:extLst>
        </xdr:cNvPr>
        <xdr:cNvSpPr>
          <a:spLocks noChangeShapeType="1"/>
        </xdr:cNvSpPr>
      </xdr:nvSpPr>
      <xdr:spPr bwMode="auto">
        <a:xfrm flipV="1">
          <a:off x="219075"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101</xdr:row>
      <xdr:rowOff>0</xdr:rowOff>
    </xdr:from>
    <xdr:to>
      <xdr:col>0</xdr:col>
      <xdr:colOff>66675</xdr:colOff>
      <xdr:row>101</xdr:row>
      <xdr:rowOff>0</xdr:rowOff>
    </xdr:to>
    <xdr:sp macro="" textlink="">
      <xdr:nvSpPr>
        <xdr:cNvPr id="17" name="Line 50">
          <a:extLst>
            <a:ext uri="{FF2B5EF4-FFF2-40B4-BE49-F238E27FC236}">
              <a16:creationId xmlns:a16="http://schemas.microsoft.com/office/drawing/2014/main" id="{064D3D9F-B3A5-419C-A4C7-0BACBAC24E53}"/>
            </a:ext>
          </a:extLst>
        </xdr:cNvPr>
        <xdr:cNvSpPr>
          <a:spLocks noChangeShapeType="1"/>
        </xdr:cNvSpPr>
      </xdr:nvSpPr>
      <xdr:spPr bwMode="auto">
        <a:xfrm flipV="1">
          <a:off x="219075"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101</xdr:row>
      <xdr:rowOff>0</xdr:rowOff>
    </xdr:from>
    <xdr:to>
      <xdr:col>0</xdr:col>
      <xdr:colOff>66675</xdr:colOff>
      <xdr:row>101</xdr:row>
      <xdr:rowOff>0</xdr:rowOff>
    </xdr:to>
    <xdr:sp macro="" textlink="">
      <xdr:nvSpPr>
        <xdr:cNvPr id="18" name="Line 54">
          <a:extLst>
            <a:ext uri="{FF2B5EF4-FFF2-40B4-BE49-F238E27FC236}">
              <a16:creationId xmlns:a16="http://schemas.microsoft.com/office/drawing/2014/main" id="{4DF793D9-B075-4C2A-A08B-E9C11531A06B}"/>
            </a:ext>
          </a:extLst>
        </xdr:cNvPr>
        <xdr:cNvSpPr>
          <a:spLocks noChangeShapeType="1"/>
        </xdr:cNvSpPr>
      </xdr:nvSpPr>
      <xdr:spPr bwMode="auto">
        <a:xfrm flipV="1">
          <a:off x="219075"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101</xdr:row>
      <xdr:rowOff>0</xdr:rowOff>
    </xdr:from>
    <xdr:to>
      <xdr:col>0</xdr:col>
      <xdr:colOff>66675</xdr:colOff>
      <xdr:row>101</xdr:row>
      <xdr:rowOff>0</xdr:rowOff>
    </xdr:to>
    <xdr:sp macro="" textlink="">
      <xdr:nvSpPr>
        <xdr:cNvPr id="19" name="Line 58">
          <a:extLst>
            <a:ext uri="{FF2B5EF4-FFF2-40B4-BE49-F238E27FC236}">
              <a16:creationId xmlns:a16="http://schemas.microsoft.com/office/drawing/2014/main" id="{9017B69D-A297-486F-A6BF-53F9D855B5EE}"/>
            </a:ext>
          </a:extLst>
        </xdr:cNvPr>
        <xdr:cNvSpPr>
          <a:spLocks noChangeShapeType="1"/>
        </xdr:cNvSpPr>
      </xdr:nvSpPr>
      <xdr:spPr bwMode="auto">
        <a:xfrm flipV="1">
          <a:off x="219075"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101</xdr:row>
      <xdr:rowOff>0</xdr:rowOff>
    </xdr:from>
    <xdr:to>
      <xdr:col>0</xdr:col>
      <xdr:colOff>66675</xdr:colOff>
      <xdr:row>101</xdr:row>
      <xdr:rowOff>0</xdr:rowOff>
    </xdr:to>
    <xdr:sp macro="" textlink="">
      <xdr:nvSpPr>
        <xdr:cNvPr id="20" name="Line 62">
          <a:extLst>
            <a:ext uri="{FF2B5EF4-FFF2-40B4-BE49-F238E27FC236}">
              <a16:creationId xmlns:a16="http://schemas.microsoft.com/office/drawing/2014/main" id="{E3C19B35-B159-4A6E-94B0-5062E048260A}"/>
            </a:ext>
          </a:extLst>
        </xdr:cNvPr>
        <xdr:cNvSpPr>
          <a:spLocks noChangeShapeType="1"/>
        </xdr:cNvSpPr>
      </xdr:nvSpPr>
      <xdr:spPr bwMode="auto">
        <a:xfrm flipV="1">
          <a:off x="219075"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66675</xdr:colOff>
      <xdr:row>101</xdr:row>
      <xdr:rowOff>0</xdr:rowOff>
    </xdr:from>
    <xdr:to>
      <xdr:col>0</xdr:col>
      <xdr:colOff>66675</xdr:colOff>
      <xdr:row>101</xdr:row>
      <xdr:rowOff>0</xdr:rowOff>
    </xdr:to>
    <xdr:sp macro="" textlink="">
      <xdr:nvSpPr>
        <xdr:cNvPr id="21" name="Line 66">
          <a:extLst>
            <a:ext uri="{FF2B5EF4-FFF2-40B4-BE49-F238E27FC236}">
              <a16:creationId xmlns:a16="http://schemas.microsoft.com/office/drawing/2014/main" id="{E337B687-10C0-4D94-9962-3E8F9184A0BE}"/>
            </a:ext>
          </a:extLst>
        </xdr:cNvPr>
        <xdr:cNvSpPr>
          <a:spLocks noChangeShapeType="1"/>
        </xdr:cNvSpPr>
      </xdr:nvSpPr>
      <xdr:spPr bwMode="auto">
        <a:xfrm flipV="1">
          <a:off x="219075" y="3857625"/>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66675</xdr:colOff>
      <xdr:row>137</xdr:row>
      <xdr:rowOff>0</xdr:rowOff>
    </xdr:from>
    <xdr:to>
      <xdr:col>2</xdr:col>
      <xdr:colOff>66675</xdr:colOff>
      <xdr:row>137</xdr:row>
      <xdr:rowOff>0</xdr:rowOff>
    </xdr:to>
    <xdr:sp macro="" textlink="">
      <xdr:nvSpPr>
        <xdr:cNvPr id="2" name="Line 11">
          <a:extLst>
            <a:ext uri="{FF2B5EF4-FFF2-40B4-BE49-F238E27FC236}">
              <a16:creationId xmlns:a16="http://schemas.microsoft.com/office/drawing/2014/main" id="{D5DBE71B-0F62-4968-95A7-03248C5A5CB9}"/>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66675</xdr:colOff>
      <xdr:row>137</xdr:row>
      <xdr:rowOff>0</xdr:rowOff>
    </xdr:from>
    <xdr:to>
      <xdr:col>2</xdr:col>
      <xdr:colOff>66675</xdr:colOff>
      <xdr:row>137</xdr:row>
      <xdr:rowOff>0</xdr:rowOff>
    </xdr:to>
    <xdr:sp macro="" textlink="">
      <xdr:nvSpPr>
        <xdr:cNvPr id="3" name="Line 37">
          <a:extLst>
            <a:ext uri="{FF2B5EF4-FFF2-40B4-BE49-F238E27FC236}">
              <a16:creationId xmlns:a16="http://schemas.microsoft.com/office/drawing/2014/main" id="{FCEB5207-F49A-428B-B3F4-003EA2200B1B}"/>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66675</xdr:colOff>
      <xdr:row>137</xdr:row>
      <xdr:rowOff>0</xdr:rowOff>
    </xdr:from>
    <xdr:to>
      <xdr:col>2</xdr:col>
      <xdr:colOff>66675</xdr:colOff>
      <xdr:row>137</xdr:row>
      <xdr:rowOff>0</xdr:rowOff>
    </xdr:to>
    <xdr:sp macro="" textlink="">
      <xdr:nvSpPr>
        <xdr:cNvPr id="4" name="Line 42">
          <a:extLst>
            <a:ext uri="{FF2B5EF4-FFF2-40B4-BE49-F238E27FC236}">
              <a16:creationId xmlns:a16="http://schemas.microsoft.com/office/drawing/2014/main" id="{625EF6C7-E92C-41B5-A4A1-DDFF298F41F5}"/>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66675</xdr:colOff>
      <xdr:row>137</xdr:row>
      <xdr:rowOff>0</xdr:rowOff>
    </xdr:from>
    <xdr:to>
      <xdr:col>2</xdr:col>
      <xdr:colOff>66675</xdr:colOff>
      <xdr:row>137</xdr:row>
      <xdr:rowOff>0</xdr:rowOff>
    </xdr:to>
    <xdr:sp macro="" textlink="">
      <xdr:nvSpPr>
        <xdr:cNvPr id="5" name="Line 46">
          <a:extLst>
            <a:ext uri="{FF2B5EF4-FFF2-40B4-BE49-F238E27FC236}">
              <a16:creationId xmlns:a16="http://schemas.microsoft.com/office/drawing/2014/main" id="{DDED7890-D0E9-438B-9A73-DD333B6E232F}"/>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66675</xdr:colOff>
      <xdr:row>137</xdr:row>
      <xdr:rowOff>0</xdr:rowOff>
    </xdr:from>
    <xdr:to>
      <xdr:col>2</xdr:col>
      <xdr:colOff>66675</xdr:colOff>
      <xdr:row>137</xdr:row>
      <xdr:rowOff>0</xdr:rowOff>
    </xdr:to>
    <xdr:sp macro="" textlink="">
      <xdr:nvSpPr>
        <xdr:cNvPr id="6" name="Line 50">
          <a:extLst>
            <a:ext uri="{FF2B5EF4-FFF2-40B4-BE49-F238E27FC236}">
              <a16:creationId xmlns:a16="http://schemas.microsoft.com/office/drawing/2014/main" id="{F7D6566D-020B-4AED-BA3B-9B79A5C55889}"/>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66675</xdr:colOff>
      <xdr:row>137</xdr:row>
      <xdr:rowOff>0</xdr:rowOff>
    </xdr:from>
    <xdr:to>
      <xdr:col>2</xdr:col>
      <xdr:colOff>66675</xdr:colOff>
      <xdr:row>137</xdr:row>
      <xdr:rowOff>0</xdr:rowOff>
    </xdr:to>
    <xdr:sp macro="" textlink="">
      <xdr:nvSpPr>
        <xdr:cNvPr id="7" name="Line 54">
          <a:extLst>
            <a:ext uri="{FF2B5EF4-FFF2-40B4-BE49-F238E27FC236}">
              <a16:creationId xmlns:a16="http://schemas.microsoft.com/office/drawing/2014/main" id="{AD793F56-2CD7-4788-B4E1-DA42C2509DF0}"/>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66675</xdr:colOff>
      <xdr:row>137</xdr:row>
      <xdr:rowOff>0</xdr:rowOff>
    </xdr:from>
    <xdr:to>
      <xdr:col>2</xdr:col>
      <xdr:colOff>66675</xdr:colOff>
      <xdr:row>137</xdr:row>
      <xdr:rowOff>0</xdr:rowOff>
    </xdr:to>
    <xdr:sp macro="" textlink="">
      <xdr:nvSpPr>
        <xdr:cNvPr id="8" name="Line 58">
          <a:extLst>
            <a:ext uri="{FF2B5EF4-FFF2-40B4-BE49-F238E27FC236}">
              <a16:creationId xmlns:a16="http://schemas.microsoft.com/office/drawing/2014/main" id="{1E8879E5-7AAB-46E1-A965-DDC748A61686}"/>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66675</xdr:colOff>
      <xdr:row>137</xdr:row>
      <xdr:rowOff>0</xdr:rowOff>
    </xdr:from>
    <xdr:to>
      <xdr:col>2</xdr:col>
      <xdr:colOff>66675</xdr:colOff>
      <xdr:row>137</xdr:row>
      <xdr:rowOff>0</xdr:rowOff>
    </xdr:to>
    <xdr:sp macro="" textlink="">
      <xdr:nvSpPr>
        <xdr:cNvPr id="9" name="Line 62">
          <a:extLst>
            <a:ext uri="{FF2B5EF4-FFF2-40B4-BE49-F238E27FC236}">
              <a16:creationId xmlns:a16="http://schemas.microsoft.com/office/drawing/2014/main" id="{41DBC8FF-8BB8-452E-A3DB-37470AB4809B}"/>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66675</xdr:colOff>
      <xdr:row>137</xdr:row>
      <xdr:rowOff>0</xdr:rowOff>
    </xdr:from>
    <xdr:to>
      <xdr:col>2</xdr:col>
      <xdr:colOff>66675</xdr:colOff>
      <xdr:row>137</xdr:row>
      <xdr:rowOff>0</xdr:rowOff>
    </xdr:to>
    <xdr:sp macro="" textlink="">
      <xdr:nvSpPr>
        <xdr:cNvPr id="10" name="Line 66">
          <a:extLst>
            <a:ext uri="{FF2B5EF4-FFF2-40B4-BE49-F238E27FC236}">
              <a16:creationId xmlns:a16="http://schemas.microsoft.com/office/drawing/2014/main" id="{AD355453-4565-4B36-AD9F-A07C151E25F2}"/>
            </a:ext>
          </a:extLst>
        </xdr:cNvPr>
        <xdr:cNvSpPr>
          <a:spLocks noChangeShapeType="1"/>
        </xdr:cNvSpPr>
      </xdr:nvSpPr>
      <xdr:spPr bwMode="auto">
        <a:xfrm flipV="1">
          <a:off x="379095" y="12848082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66675</xdr:colOff>
      <xdr:row>8</xdr:row>
      <xdr:rowOff>0</xdr:rowOff>
    </xdr:from>
    <xdr:to>
      <xdr:col>1</xdr:col>
      <xdr:colOff>66675</xdr:colOff>
      <xdr:row>8</xdr:row>
      <xdr:rowOff>0</xdr:rowOff>
    </xdr:to>
    <xdr:sp macro="" textlink="">
      <xdr:nvSpPr>
        <xdr:cNvPr id="2" name="Line 11">
          <a:extLst>
            <a:ext uri="{FF2B5EF4-FFF2-40B4-BE49-F238E27FC236}">
              <a16:creationId xmlns:a16="http://schemas.microsoft.com/office/drawing/2014/main" id="{F5C072D2-3AAE-46F9-9128-6CAAA77642F2}"/>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3" name="Line 37">
          <a:extLst>
            <a:ext uri="{FF2B5EF4-FFF2-40B4-BE49-F238E27FC236}">
              <a16:creationId xmlns:a16="http://schemas.microsoft.com/office/drawing/2014/main" id="{89D027F7-1DEE-466E-9051-61A873E0C0D3}"/>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4" name="Line 42">
          <a:extLst>
            <a:ext uri="{FF2B5EF4-FFF2-40B4-BE49-F238E27FC236}">
              <a16:creationId xmlns:a16="http://schemas.microsoft.com/office/drawing/2014/main" id="{99955BA8-CFA9-40FC-992F-961C8448FA8D}"/>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5" name="Line 46">
          <a:extLst>
            <a:ext uri="{FF2B5EF4-FFF2-40B4-BE49-F238E27FC236}">
              <a16:creationId xmlns:a16="http://schemas.microsoft.com/office/drawing/2014/main" id="{6068D6F6-C757-404B-90E6-4E79E47FB483}"/>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6" name="Line 50">
          <a:extLst>
            <a:ext uri="{FF2B5EF4-FFF2-40B4-BE49-F238E27FC236}">
              <a16:creationId xmlns:a16="http://schemas.microsoft.com/office/drawing/2014/main" id="{72916C9D-94A3-4226-97EE-B72A180A6977}"/>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7" name="Line 54">
          <a:extLst>
            <a:ext uri="{FF2B5EF4-FFF2-40B4-BE49-F238E27FC236}">
              <a16:creationId xmlns:a16="http://schemas.microsoft.com/office/drawing/2014/main" id="{FE723F5A-C8C4-4C40-8C89-FED36A4828C8}"/>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8" name="Line 58">
          <a:extLst>
            <a:ext uri="{FF2B5EF4-FFF2-40B4-BE49-F238E27FC236}">
              <a16:creationId xmlns:a16="http://schemas.microsoft.com/office/drawing/2014/main" id="{39F89856-5F5A-472F-B404-6728C8F25F04}"/>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9" name="Line 62">
          <a:extLst>
            <a:ext uri="{FF2B5EF4-FFF2-40B4-BE49-F238E27FC236}">
              <a16:creationId xmlns:a16="http://schemas.microsoft.com/office/drawing/2014/main" id="{3E74E7EE-B238-4C0C-A7BA-724ECF07D8D3}"/>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8</xdr:row>
      <xdr:rowOff>0</xdr:rowOff>
    </xdr:from>
    <xdr:to>
      <xdr:col>1</xdr:col>
      <xdr:colOff>66675</xdr:colOff>
      <xdr:row>8</xdr:row>
      <xdr:rowOff>0</xdr:rowOff>
    </xdr:to>
    <xdr:sp macro="" textlink="">
      <xdr:nvSpPr>
        <xdr:cNvPr id="10" name="Line 66">
          <a:extLst>
            <a:ext uri="{FF2B5EF4-FFF2-40B4-BE49-F238E27FC236}">
              <a16:creationId xmlns:a16="http://schemas.microsoft.com/office/drawing/2014/main" id="{60DF7C63-B9CA-4A22-A2B1-4D6A065F085A}"/>
            </a:ext>
          </a:extLst>
        </xdr:cNvPr>
        <xdr:cNvSpPr>
          <a:spLocks noChangeShapeType="1"/>
        </xdr:cNvSpPr>
      </xdr:nvSpPr>
      <xdr:spPr bwMode="auto">
        <a:xfrm flipV="1">
          <a:off x="209550" y="601980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14</xdr:col>
      <xdr:colOff>0</xdr:colOff>
      <xdr:row>6</xdr:row>
      <xdr:rowOff>0</xdr:rowOff>
    </xdr:from>
    <xdr:to>
      <xdr:col>14</xdr:col>
      <xdr:colOff>238125</xdr:colOff>
      <xdr:row>6</xdr:row>
      <xdr:rowOff>304800</xdr:rowOff>
    </xdr:to>
    <xdr:sp macro="" textlink="">
      <xdr:nvSpPr>
        <xdr:cNvPr id="11" name="AutoShape 1025">
          <a:extLst>
            <a:ext uri="{FF2B5EF4-FFF2-40B4-BE49-F238E27FC236}">
              <a16:creationId xmlns:a16="http://schemas.microsoft.com/office/drawing/2014/main" id="{34BAEB3B-42E9-4F29-914C-9E525441AE84}"/>
            </a:ext>
          </a:extLst>
        </xdr:cNvPr>
        <xdr:cNvSpPr>
          <a:spLocks noChangeAspect="1" noChangeArrowheads="1"/>
        </xdr:cNvSpPr>
      </xdr:nvSpPr>
      <xdr:spPr bwMode="auto">
        <a:xfrm>
          <a:off x="23155275" y="2590800"/>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13</xdr:col>
      <xdr:colOff>0</xdr:colOff>
      <xdr:row>18</xdr:row>
      <xdr:rowOff>0</xdr:rowOff>
    </xdr:from>
    <xdr:to>
      <xdr:col>13</xdr:col>
      <xdr:colOff>295275</xdr:colOff>
      <xdr:row>18</xdr:row>
      <xdr:rowOff>304800</xdr:rowOff>
    </xdr:to>
    <xdr:sp macro="" textlink="">
      <xdr:nvSpPr>
        <xdr:cNvPr id="12" name="AutoShape 1025">
          <a:extLst>
            <a:ext uri="{FF2B5EF4-FFF2-40B4-BE49-F238E27FC236}">
              <a16:creationId xmlns:a16="http://schemas.microsoft.com/office/drawing/2014/main" id="{1F186078-11F9-414A-ACED-E60035D15C9A}"/>
            </a:ext>
          </a:extLst>
        </xdr:cNvPr>
        <xdr:cNvSpPr>
          <a:spLocks noChangeAspect="1" noChangeArrowheads="1"/>
        </xdr:cNvSpPr>
      </xdr:nvSpPr>
      <xdr:spPr bwMode="auto">
        <a:xfrm>
          <a:off x="20859750" y="58531125"/>
          <a:ext cx="2952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17</xdr:row>
      <xdr:rowOff>0</xdr:rowOff>
    </xdr:from>
    <xdr:to>
      <xdr:col>14</xdr:col>
      <xdr:colOff>238125</xdr:colOff>
      <xdr:row>17</xdr:row>
      <xdr:rowOff>304800</xdr:rowOff>
    </xdr:to>
    <xdr:sp macro="" textlink="">
      <xdr:nvSpPr>
        <xdr:cNvPr id="13" name="AutoShape 1077">
          <a:extLst>
            <a:ext uri="{FF2B5EF4-FFF2-40B4-BE49-F238E27FC236}">
              <a16:creationId xmlns:a16="http://schemas.microsoft.com/office/drawing/2014/main" id="{F8C4FE38-0F28-4468-9BC7-E249AECD76C6}"/>
            </a:ext>
          </a:extLst>
        </xdr:cNvPr>
        <xdr:cNvSpPr>
          <a:spLocks noChangeAspect="1" noChangeArrowheads="1"/>
        </xdr:cNvSpPr>
      </xdr:nvSpPr>
      <xdr:spPr bwMode="auto">
        <a:xfrm>
          <a:off x="23155275" y="45958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17</xdr:row>
      <xdr:rowOff>0</xdr:rowOff>
    </xdr:from>
    <xdr:to>
      <xdr:col>14</xdr:col>
      <xdr:colOff>238125</xdr:colOff>
      <xdr:row>17</xdr:row>
      <xdr:rowOff>304800</xdr:rowOff>
    </xdr:to>
    <xdr:sp macro="" textlink="">
      <xdr:nvSpPr>
        <xdr:cNvPr id="14" name="AutoShape 1078">
          <a:extLst>
            <a:ext uri="{FF2B5EF4-FFF2-40B4-BE49-F238E27FC236}">
              <a16:creationId xmlns:a16="http://schemas.microsoft.com/office/drawing/2014/main" id="{DD36F20F-0EF9-4E6A-8629-596A0B6F9FA8}"/>
            </a:ext>
          </a:extLst>
        </xdr:cNvPr>
        <xdr:cNvSpPr>
          <a:spLocks noChangeAspect="1" noChangeArrowheads="1"/>
        </xdr:cNvSpPr>
      </xdr:nvSpPr>
      <xdr:spPr bwMode="auto">
        <a:xfrm>
          <a:off x="23155275" y="45958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17</xdr:row>
      <xdr:rowOff>0</xdr:rowOff>
    </xdr:from>
    <xdr:to>
      <xdr:col>14</xdr:col>
      <xdr:colOff>238125</xdr:colOff>
      <xdr:row>17</xdr:row>
      <xdr:rowOff>304800</xdr:rowOff>
    </xdr:to>
    <xdr:sp macro="" textlink="">
      <xdr:nvSpPr>
        <xdr:cNvPr id="15" name="AutoShape 1080" descr="Blackpearl">
          <a:extLst>
            <a:ext uri="{FF2B5EF4-FFF2-40B4-BE49-F238E27FC236}">
              <a16:creationId xmlns:a16="http://schemas.microsoft.com/office/drawing/2014/main" id="{6E91AE03-ACEC-4B37-8582-D7A7F24C913A}"/>
            </a:ext>
          </a:extLst>
        </xdr:cNvPr>
        <xdr:cNvSpPr>
          <a:spLocks noChangeAspect="1" noChangeArrowheads="1"/>
        </xdr:cNvSpPr>
      </xdr:nvSpPr>
      <xdr:spPr bwMode="auto">
        <a:xfrm>
          <a:off x="23155275" y="48244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17</xdr:row>
      <xdr:rowOff>0</xdr:rowOff>
    </xdr:from>
    <xdr:to>
      <xdr:col>14</xdr:col>
      <xdr:colOff>238125</xdr:colOff>
      <xdr:row>17</xdr:row>
      <xdr:rowOff>304800</xdr:rowOff>
    </xdr:to>
    <xdr:sp macro="" textlink="">
      <xdr:nvSpPr>
        <xdr:cNvPr id="16" name="AutoShape 1081" descr="Blackpearl">
          <a:extLst>
            <a:ext uri="{FF2B5EF4-FFF2-40B4-BE49-F238E27FC236}">
              <a16:creationId xmlns:a16="http://schemas.microsoft.com/office/drawing/2014/main" id="{496C5F75-A87B-4E0E-BEA2-62D97AC4243C}"/>
            </a:ext>
          </a:extLst>
        </xdr:cNvPr>
        <xdr:cNvSpPr>
          <a:spLocks noChangeAspect="1" noChangeArrowheads="1"/>
        </xdr:cNvSpPr>
      </xdr:nvSpPr>
      <xdr:spPr bwMode="auto">
        <a:xfrm>
          <a:off x="23155275" y="48244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17</xdr:row>
      <xdr:rowOff>0</xdr:rowOff>
    </xdr:from>
    <xdr:to>
      <xdr:col>14</xdr:col>
      <xdr:colOff>238125</xdr:colOff>
      <xdr:row>17</xdr:row>
      <xdr:rowOff>304800</xdr:rowOff>
    </xdr:to>
    <xdr:sp macro="" textlink="">
      <xdr:nvSpPr>
        <xdr:cNvPr id="17" name="AutoShape 1203">
          <a:extLst>
            <a:ext uri="{FF2B5EF4-FFF2-40B4-BE49-F238E27FC236}">
              <a16:creationId xmlns:a16="http://schemas.microsoft.com/office/drawing/2014/main" id="{D39AD7C5-7834-44CD-9DFC-EFD8ACC724A6}"/>
            </a:ext>
          </a:extLst>
        </xdr:cNvPr>
        <xdr:cNvSpPr>
          <a:spLocks noChangeAspect="1" noChangeArrowheads="1"/>
        </xdr:cNvSpPr>
      </xdr:nvSpPr>
      <xdr:spPr bwMode="auto">
        <a:xfrm>
          <a:off x="23155275" y="50530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18</xdr:row>
      <xdr:rowOff>0</xdr:rowOff>
    </xdr:from>
    <xdr:to>
      <xdr:col>14</xdr:col>
      <xdr:colOff>238125</xdr:colOff>
      <xdr:row>18</xdr:row>
      <xdr:rowOff>304800</xdr:rowOff>
    </xdr:to>
    <xdr:sp macro="" textlink="">
      <xdr:nvSpPr>
        <xdr:cNvPr id="18" name="AutoShape 1206" descr="JZ International">
          <a:extLst>
            <a:ext uri="{FF2B5EF4-FFF2-40B4-BE49-F238E27FC236}">
              <a16:creationId xmlns:a16="http://schemas.microsoft.com/office/drawing/2014/main" id="{1A4C72E2-C7BE-41C3-A772-5981B45A8AF9}"/>
            </a:ext>
          </a:extLst>
        </xdr:cNvPr>
        <xdr:cNvSpPr>
          <a:spLocks noChangeAspect="1" noChangeArrowheads="1"/>
        </xdr:cNvSpPr>
      </xdr:nvSpPr>
      <xdr:spPr bwMode="auto">
        <a:xfrm>
          <a:off x="23155275" y="52816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18</xdr:row>
      <xdr:rowOff>0</xdr:rowOff>
    </xdr:from>
    <xdr:to>
      <xdr:col>14</xdr:col>
      <xdr:colOff>238125</xdr:colOff>
      <xdr:row>18</xdr:row>
      <xdr:rowOff>304800</xdr:rowOff>
    </xdr:to>
    <xdr:sp macro="" textlink="">
      <xdr:nvSpPr>
        <xdr:cNvPr id="20" name="AutoShape 1348" descr="Logo Qualitas Equity">
          <a:extLst>
            <a:ext uri="{FF2B5EF4-FFF2-40B4-BE49-F238E27FC236}">
              <a16:creationId xmlns:a16="http://schemas.microsoft.com/office/drawing/2014/main" id="{FE29DD90-1B56-46AB-BDA5-C7214E8262DD}"/>
            </a:ext>
          </a:extLst>
        </xdr:cNvPr>
        <xdr:cNvSpPr>
          <a:spLocks noChangeAspect="1" noChangeArrowheads="1"/>
        </xdr:cNvSpPr>
      </xdr:nvSpPr>
      <xdr:spPr bwMode="auto">
        <a:xfrm>
          <a:off x="23155275" y="57388125"/>
          <a:ext cx="2381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66675</xdr:colOff>
      <xdr:row>9</xdr:row>
      <xdr:rowOff>0</xdr:rowOff>
    </xdr:from>
    <xdr:to>
      <xdr:col>1</xdr:col>
      <xdr:colOff>66675</xdr:colOff>
      <xdr:row>9</xdr:row>
      <xdr:rowOff>0</xdr:rowOff>
    </xdr:to>
    <xdr:sp macro="" textlink="">
      <xdr:nvSpPr>
        <xdr:cNvPr id="2" name="Line 11">
          <a:extLst>
            <a:ext uri="{FF2B5EF4-FFF2-40B4-BE49-F238E27FC236}">
              <a16:creationId xmlns:a16="http://schemas.microsoft.com/office/drawing/2014/main" id="{90F60BCD-ACB9-4B26-A4A3-EADEB4D45970}"/>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3" name="Line 37">
          <a:extLst>
            <a:ext uri="{FF2B5EF4-FFF2-40B4-BE49-F238E27FC236}">
              <a16:creationId xmlns:a16="http://schemas.microsoft.com/office/drawing/2014/main" id="{A4970674-DC96-4D6E-918E-D8B8BEF9EC0E}"/>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4" name="Line 42">
          <a:extLst>
            <a:ext uri="{FF2B5EF4-FFF2-40B4-BE49-F238E27FC236}">
              <a16:creationId xmlns:a16="http://schemas.microsoft.com/office/drawing/2014/main" id="{12975A52-EB37-4CB5-A92E-55D932765B52}"/>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5" name="Line 46">
          <a:extLst>
            <a:ext uri="{FF2B5EF4-FFF2-40B4-BE49-F238E27FC236}">
              <a16:creationId xmlns:a16="http://schemas.microsoft.com/office/drawing/2014/main" id="{D6036BB6-F68F-4430-9E2D-E67E9DC6A5C6}"/>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6" name="Line 50">
          <a:extLst>
            <a:ext uri="{FF2B5EF4-FFF2-40B4-BE49-F238E27FC236}">
              <a16:creationId xmlns:a16="http://schemas.microsoft.com/office/drawing/2014/main" id="{F387544B-5F2B-420B-9F3F-7FCDB2E44D89}"/>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7" name="Line 54">
          <a:extLst>
            <a:ext uri="{FF2B5EF4-FFF2-40B4-BE49-F238E27FC236}">
              <a16:creationId xmlns:a16="http://schemas.microsoft.com/office/drawing/2014/main" id="{79D2DD65-6DA3-4D63-9B79-1E67E556F190}"/>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8" name="Line 58">
          <a:extLst>
            <a:ext uri="{FF2B5EF4-FFF2-40B4-BE49-F238E27FC236}">
              <a16:creationId xmlns:a16="http://schemas.microsoft.com/office/drawing/2014/main" id="{E4659F9C-4910-4F1D-B756-56A8C9EA6C2E}"/>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9" name="Line 62">
          <a:extLst>
            <a:ext uri="{FF2B5EF4-FFF2-40B4-BE49-F238E27FC236}">
              <a16:creationId xmlns:a16="http://schemas.microsoft.com/office/drawing/2014/main" id="{0D182C82-4551-4C02-845C-F09EAEFE2EE0}"/>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66675</xdr:colOff>
      <xdr:row>9</xdr:row>
      <xdr:rowOff>0</xdr:rowOff>
    </xdr:from>
    <xdr:to>
      <xdr:col>1</xdr:col>
      <xdr:colOff>66675</xdr:colOff>
      <xdr:row>9</xdr:row>
      <xdr:rowOff>0</xdr:rowOff>
    </xdr:to>
    <xdr:sp macro="" textlink="">
      <xdr:nvSpPr>
        <xdr:cNvPr id="10" name="Line 66">
          <a:extLst>
            <a:ext uri="{FF2B5EF4-FFF2-40B4-BE49-F238E27FC236}">
              <a16:creationId xmlns:a16="http://schemas.microsoft.com/office/drawing/2014/main" id="{D4F466C5-0188-4AA1-A903-B67277236E2F}"/>
            </a:ext>
          </a:extLst>
        </xdr:cNvPr>
        <xdr:cNvSpPr>
          <a:spLocks noChangeShapeType="1"/>
        </xdr:cNvSpPr>
      </xdr:nvSpPr>
      <xdr:spPr bwMode="auto">
        <a:xfrm flipV="1">
          <a:off x="226695" y="3840480"/>
          <a:ext cx="0" cy="0"/>
        </a:xfrm>
        <a:prstGeom prst="line">
          <a:avLst/>
        </a:prstGeom>
        <a:noFill/>
        <a:ln w="9525">
          <a:solidFill>
            <a:srgbClr val="333399"/>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oneCellAnchor>
    <xdr:from>
      <xdr:col>15</xdr:col>
      <xdr:colOff>0</xdr:colOff>
      <xdr:row>33</xdr:row>
      <xdr:rowOff>0</xdr:rowOff>
    </xdr:from>
    <xdr:ext cx="295275" cy="409575"/>
    <xdr:sp macro="" textlink="">
      <xdr:nvSpPr>
        <xdr:cNvPr id="2" name="AutoShape 1024">
          <a:extLst>
            <a:ext uri="{FF2B5EF4-FFF2-40B4-BE49-F238E27FC236}">
              <a16:creationId xmlns:a16="http://schemas.microsoft.com/office/drawing/2014/main" id="{90D354CD-6FC0-4A51-97C1-5D16E3A3454A}"/>
            </a:ext>
          </a:extLst>
        </xdr:cNvPr>
        <xdr:cNvSpPr>
          <a:spLocks noChangeAspect="1" noChangeArrowheads="1"/>
        </xdr:cNvSpPr>
      </xdr:nvSpPr>
      <xdr:spPr bwMode="auto">
        <a:xfrm>
          <a:off x="9509760" y="5532120"/>
          <a:ext cx="2952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entral\administracion\Report\2008\INECON\INECON%202008%20ALJARAQU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ntral\administracion\Report\2008\INECON\RESUMENES\RESUMEN%20PYG%20TODOS%20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ntral\administracion\ORGANIZACION%20FINANCIERO\Valoracion_para_procam\Nueva%20Valoracion%20marzo%2009\Plan%20Consolidado%202008%20202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entral\administracion\Documents%20and%20Settings\fernando.SANYRES.ES\Mis%20documentos\SANIRES\Proyectos\Business%20Plan\S21%20SA\Planes%20definitivos\ANDUJAR\Planes%20realizados%20en%20nov%202004\Nuevo%20Modelo%20LAND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CIONES"/>
      <sheetName val="VENTAS"/>
      <sheetName val="agrup_costes"/>
      <sheetName val="Tipos_costes"/>
      <sheetName val="PRESUPUESTO"/>
      <sheetName val="BALANCE"/>
      <sheetName val="portada"/>
      <sheetName val="pyg"/>
      <sheetName val="analitica"/>
      <sheetName val="detalle gastos"/>
      <sheetName val="evoluciones"/>
      <sheetName val="desviaciones presupuestarias"/>
    </sheetNames>
    <sheetDataSet>
      <sheetData sheetId="0"/>
      <sheetData sheetId="1"/>
      <sheetData sheetId="2"/>
      <sheetData sheetId="3"/>
      <sheetData sheetId="4"/>
      <sheetData sheetId="5">
        <row r="5">
          <cell r="A5" t="str">
            <v>REPARACIONES Y CONSERVACIÓN</v>
          </cell>
          <cell r="E5" t="str">
            <v xml:space="preserve">  </v>
          </cell>
          <cell r="F5" t="str">
            <v xml:space="preserve">  </v>
          </cell>
          <cell r="G5" t="str">
            <v xml:space="preserve">  </v>
          </cell>
          <cell r="H5" t="str">
            <v xml:space="preserve">  </v>
          </cell>
          <cell r="I5" t="str">
            <v xml:space="preserve">  </v>
          </cell>
          <cell r="J5" t="str">
            <v xml:space="preserve">  </v>
          </cell>
          <cell r="K5">
            <v>1160</v>
          </cell>
          <cell r="L5">
            <v>1160</v>
          </cell>
          <cell r="M5">
            <v>1160</v>
          </cell>
          <cell r="N5">
            <v>1160</v>
          </cell>
          <cell r="O5">
            <v>1160</v>
          </cell>
          <cell r="P5">
            <v>1160</v>
          </cell>
        </row>
        <row r="6">
          <cell r="A6" t="str">
            <v>REPARACIONES Y CONSERVACIÓN</v>
          </cell>
          <cell r="E6" t="str">
            <v xml:space="preserve">  </v>
          </cell>
          <cell r="F6" t="str">
            <v xml:space="preserve">  </v>
          </cell>
          <cell r="G6" t="str">
            <v xml:space="preserve">  </v>
          </cell>
          <cell r="H6" t="str">
            <v xml:space="preserve">  </v>
          </cell>
          <cell r="I6" t="str">
            <v xml:space="preserve">  </v>
          </cell>
          <cell r="J6">
            <v>2123</v>
          </cell>
          <cell r="K6">
            <v>2894</v>
          </cell>
          <cell r="L6">
            <v>2894</v>
          </cell>
          <cell r="M6">
            <v>2894</v>
          </cell>
          <cell r="N6">
            <v>2894</v>
          </cell>
          <cell r="O6">
            <v>2894</v>
          </cell>
          <cell r="P6">
            <v>2894</v>
          </cell>
        </row>
        <row r="7">
          <cell r="A7" t="str">
            <v>SERVICIOS PROF.INDEPENDIENTES</v>
          </cell>
          <cell r="E7" t="str">
            <v xml:space="preserve">  </v>
          </cell>
          <cell r="F7" t="str">
            <v xml:space="preserve">  </v>
          </cell>
          <cell r="G7">
            <v>220</v>
          </cell>
          <cell r="H7" t="str">
            <v xml:space="preserve">  </v>
          </cell>
          <cell r="I7" t="str">
            <v xml:space="preserve">  </v>
          </cell>
          <cell r="J7">
            <v>553</v>
          </cell>
          <cell r="K7">
            <v>2435</v>
          </cell>
          <cell r="L7" t="str">
            <v xml:space="preserve">  </v>
          </cell>
          <cell r="M7">
            <v>453</v>
          </cell>
          <cell r="N7" t="str">
            <v xml:space="preserve">  </v>
          </cell>
          <cell r="O7" t="str">
            <v xml:space="preserve">  </v>
          </cell>
          <cell r="P7" t="str">
            <v xml:space="preserve">  </v>
          </cell>
        </row>
        <row r="8">
          <cell r="A8" t="str">
            <v>SERVICIOS PROF.INDEPENDIENTES</v>
          </cell>
          <cell r="E8" t="str">
            <v xml:space="preserve">  </v>
          </cell>
          <cell r="F8" t="str">
            <v xml:space="preserve">  </v>
          </cell>
          <cell r="G8" t="str">
            <v xml:space="preserve">  </v>
          </cell>
          <cell r="H8" t="str">
            <v xml:space="preserve">  </v>
          </cell>
          <cell r="I8" t="str">
            <v xml:space="preserve">  </v>
          </cell>
          <cell r="J8">
            <v>1293</v>
          </cell>
          <cell r="K8">
            <v>6681</v>
          </cell>
          <cell r="L8">
            <v>6123</v>
          </cell>
          <cell r="M8">
            <v>5926</v>
          </cell>
          <cell r="N8">
            <v>6123</v>
          </cell>
          <cell r="O8">
            <v>5926</v>
          </cell>
          <cell r="P8">
            <v>6123</v>
          </cell>
        </row>
        <row r="9">
          <cell r="A9" t="str">
            <v>SERVICIOS PROF.INDEPENDIENTES</v>
          </cell>
          <cell r="E9" t="str">
            <v xml:space="preserve">  </v>
          </cell>
          <cell r="F9" t="str">
            <v xml:space="preserve">  </v>
          </cell>
          <cell r="G9" t="str">
            <v xml:space="preserve">  </v>
          </cell>
          <cell r="H9" t="str">
            <v xml:space="preserve">  </v>
          </cell>
          <cell r="I9" t="str">
            <v xml:space="preserve">  </v>
          </cell>
          <cell r="J9" t="str">
            <v xml:space="preserve">  </v>
          </cell>
          <cell r="K9" t="str">
            <v xml:space="preserve">  </v>
          </cell>
          <cell r="L9" t="str">
            <v xml:space="preserve">  </v>
          </cell>
          <cell r="M9" t="str">
            <v xml:space="preserve">  </v>
          </cell>
          <cell r="N9">
            <v>42</v>
          </cell>
          <cell r="O9" t="str">
            <v xml:space="preserve">  </v>
          </cell>
          <cell r="P9" t="str">
            <v xml:space="preserve">  </v>
          </cell>
        </row>
        <row r="10">
          <cell r="A10" t="str">
            <v>SERVICIOS PROF.INDEPENDIENTES</v>
          </cell>
          <cell r="E10" t="str">
            <v xml:space="preserve">  </v>
          </cell>
          <cell r="F10" t="str">
            <v xml:space="preserve">  </v>
          </cell>
          <cell r="G10" t="str">
            <v xml:space="preserve">  </v>
          </cell>
          <cell r="H10" t="str">
            <v xml:space="preserve">  </v>
          </cell>
          <cell r="I10" t="str">
            <v xml:space="preserve">  </v>
          </cell>
          <cell r="J10" t="str">
            <v xml:space="preserve">  </v>
          </cell>
          <cell r="K10" t="str">
            <v xml:space="preserve">  </v>
          </cell>
          <cell r="L10" t="str">
            <v xml:space="preserve">  </v>
          </cell>
          <cell r="M10" t="str">
            <v xml:space="preserve">  </v>
          </cell>
          <cell r="N10" t="str">
            <v xml:space="preserve">  </v>
          </cell>
          <cell r="O10" t="str">
            <v xml:space="preserve">  </v>
          </cell>
          <cell r="P10">
            <v>2143</v>
          </cell>
        </row>
        <row r="11">
          <cell r="A11" t="str">
            <v>PRIMAS DE SEGUROS</v>
          </cell>
          <cell r="E11" t="str">
            <v xml:space="preserve">  </v>
          </cell>
          <cell r="F11" t="str">
            <v xml:space="preserve">  </v>
          </cell>
          <cell r="G11" t="str">
            <v xml:space="preserve">  </v>
          </cell>
          <cell r="H11" t="str">
            <v xml:space="preserve">  </v>
          </cell>
          <cell r="I11" t="str">
            <v xml:space="preserve">  </v>
          </cell>
          <cell r="J11" t="str">
            <v xml:space="preserve">  </v>
          </cell>
          <cell r="K11">
            <v>833</v>
          </cell>
          <cell r="L11">
            <v>833</v>
          </cell>
          <cell r="M11">
            <v>833</v>
          </cell>
          <cell r="N11">
            <v>833</v>
          </cell>
          <cell r="O11">
            <v>833</v>
          </cell>
          <cell r="P11">
            <v>833</v>
          </cell>
        </row>
        <row r="12">
          <cell r="A12" t="str">
            <v>SERVICIOS BANCARIOS</v>
          </cell>
          <cell r="E12" t="str">
            <v xml:space="preserve">  </v>
          </cell>
          <cell r="F12" t="str">
            <v xml:space="preserve">  </v>
          </cell>
          <cell r="G12" t="str">
            <v xml:space="preserve">  </v>
          </cell>
          <cell r="H12">
            <v>2</v>
          </cell>
          <cell r="I12" t="str">
            <v xml:space="preserve">  </v>
          </cell>
          <cell r="J12">
            <v>2</v>
          </cell>
          <cell r="K12">
            <v>268</v>
          </cell>
          <cell r="L12" t="str">
            <v xml:space="preserve">  </v>
          </cell>
          <cell r="M12">
            <v>13</v>
          </cell>
          <cell r="N12">
            <v>47</v>
          </cell>
          <cell r="O12">
            <v>26</v>
          </cell>
          <cell r="P12">
            <v>13</v>
          </cell>
        </row>
        <row r="13">
          <cell r="A13" t="str">
            <v>PUBLICIDAD Y PROPAGANDA</v>
          </cell>
          <cell r="E13" t="str">
            <v xml:space="preserve">  </v>
          </cell>
          <cell r="F13" t="str">
            <v xml:space="preserve">  </v>
          </cell>
          <cell r="G13" t="str">
            <v xml:space="preserve">  </v>
          </cell>
          <cell r="H13" t="str">
            <v xml:space="preserve">  </v>
          </cell>
          <cell r="I13" t="str">
            <v xml:space="preserve">  </v>
          </cell>
          <cell r="J13" t="str">
            <v xml:space="preserve">  </v>
          </cell>
          <cell r="K13" t="str">
            <v xml:space="preserve">  </v>
          </cell>
          <cell r="L13" t="str">
            <v xml:space="preserve">  </v>
          </cell>
          <cell r="M13" t="str">
            <v xml:space="preserve">  </v>
          </cell>
          <cell r="N13" t="str">
            <v xml:space="preserve">  </v>
          </cell>
          <cell r="O13">
            <v>96</v>
          </cell>
          <cell r="P13">
            <v>96</v>
          </cell>
        </row>
        <row r="14">
          <cell r="A14" t="str">
            <v>PUBLICIDAD Y PROPAGANDA</v>
          </cell>
          <cell r="E14" t="str">
            <v xml:space="preserve">  </v>
          </cell>
          <cell r="F14" t="str">
            <v xml:space="preserve">  </v>
          </cell>
          <cell r="G14" t="str">
            <v xml:space="preserve">  </v>
          </cell>
          <cell r="H14" t="str">
            <v xml:space="preserve">  </v>
          </cell>
          <cell r="I14" t="str">
            <v xml:space="preserve">  </v>
          </cell>
          <cell r="J14" t="str">
            <v xml:space="preserve">  </v>
          </cell>
          <cell r="K14" t="str">
            <v xml:space="preserve">  </v>
          </cell>
          <cell r="L14" t="str">
            <v xml:space="preserve">  </v>
          </cell>
          <cell r="M14" t="str">
            <v xml:space="preserve">  </v>
          </cell>
          <cell r="N14" t="str">
            <v xml:space="preserve">  </v>
          </cell>
          <cell r="O14" t="str">
            <v xml:space="preserve">  </v>
          </cell>
          <cell r="P14">
            <v>35</v>
          </cell>
        </row>
        <row r="15">
          <cell r="A15" t="str">
            <v>PUBLICIDAD Y PROPAGANDA</v>
          </cell>
          <cell r="E15" t="str">
            <v xml:space="preserve">  </v>
          </cell>
          <cell r="F15">
            <v>518</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cell r="N15" t="str">
            <v xml:space="preserve">  </v>
          </cell>
          <cell r="O15" t="str">
            <v xml:space="preserve">  </v>
          </cell>
          <cell r="P15" t="str">
            <v xml:space="preserve">  </v>
          </cell>
        </row>
        <row r="16">
          <cell r="A16" t="str">
            <v>PUBLICIDAD Y PROPAGANDA</v>
          </cell>
          <cell r="E16" t="str">
            <v xml:space="preserve">  </v>
          </cell>
          <cell r="F16" t="str">
            <v xml:space="preserve">  </v>
          </cell>
          <cell r="G16" t="str">
            <v xml:space="preserve">  </v>
          </cell>
          <cell r="H16" t="str">
            <v xml:space="preserve">  </v>
          </cell>
          <cell r="I16" t="str">
            <v xml:space="preserve">  </v>
          </cell>
          <cell r="J16" t="str">
            <v xml:space="preserve">  </v>
          </cell>
          <cell r="K16">
            <v>320</v>
          </cell>
          <cell r="L16">
            <v>13</v>
          </cell>
          <cell r="M16">
            <v>13</v>
          </cell>
          <cell r="N16">
            <v>938</v>
          </cell>
          <cell r="O16">
            <v>122</v>
          </cell>
          <cell r="P16">
            <v>233</v>
          </cell>
        </row>
        <row r="17">
          <cell r="A17" t="str">
            <v>PUBLICIDAD Y PROPAGANDA</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cell r="N17">
            <v>891</v>
          </cell>
          <cell r="O17" t="str">
            <v xml:space="preserve">  </v>
          </cell>
          <cell r="P17" t="str">
            <v xml:space="preserve">  </v>
          </cell>
        </row>
        <row r="18">
          <cell r="A18" t="str">
            <v>PUBLICIDAD Y PROPAGANDA</v>
          </cell>
          <cell r="E18" t="str">
            <v xml:space="preserve">  </v>
          </cell>
          <cell r="F18" t="str">
            <v xml:space="preserve">  </v>
          </cell>
          <cell r="G18" t="str">
            <v xml:space="preserve">  </v>
          </cell>
          <cell r="H18" t="str">
            <v xml:space="preserve">  </v>
          </cell>
          <cell r="I18">
            <v>33</v>
          </cell>
          <cell r="J18">
            <v>85</v>
          </cell>
          <cell r="K18">
            <v>33</v>
          </cell>
          <cell r="L18">
            <v>33</v>
          </cell>
          <cell r="M18">
            <v>33</v>
          </cell>
          <cell r="N18">
            <v>33</v>
          </cell>
          <cell r="O18">
            <v>1422</v>
          </cell>
          <cell r="P18">
            <v>768</v>
          </cell>
        </row>
        <row r="19">
          <cell r="A19" t="str">
            <v>PUBLICIDAD Y PROPAGANDA</v>
          </cell>
          <cell r="E19">
            <v>833</v>
          </cell>
          <cell r="F19" t="str">
            <v xml:space="preserve">  </v>
          </cell>
          <cell r="G19">
            <v>833</v>
          </cell>
          <cell r="H19">
            <v>833</v>
          </cell>
          <cell r="I19">
            <v>833</v>
          </cell>
          <cell r="J19">
            <v>833</v>
          </cell>
          <cell r="K19" t="str">
            <v xml:space="preserve">  </v>
          </cell>
          <cell r="L19" t="str">
            <v xml:space="preserve">  </v>
          </cell>
          <cell r="M19" t="str">
            <v xml:space="preserve">  </v>
          </cell>
          <cell r="N19" t="str">
            <v xml:space="preserve">  </v>
          </cell>
          <cell r="O19" t="str">
            <v xml:space="preserve">  </v>
          </cell>
          <cell r="P19" t="str">
            <v xml:space="preserve">  </v>
          </cell>
        </row>
        <row r="20">
          <cell r="A20" t="str">
            <v>PUBLICIDAD Y PROPAGANDA</v>
          </cell>
          <cell r="E20" t="str">
            <v xml:space="preserve">  </v>
          </cell>
          <cell r="F20" t="str">
            <v xml:space="preserve">  </v>
          </cell>
          <cell r="G20">
            <v>675</v>
          </cell>
          <cell r="H20" t="str">
            <v xml:space="preserve">  </v>
          </cell>
          <cell r="I20" t="str">
            <v xml:space="preserve">  </v>
          </cell>
          <cell r="J20" t="str">
            <v xml:space="preserve">  </v>
          </cell>
          <cell r="K20" t="str">
            <v xml:space="preserve">  </v>
          </cell>
          <cell r="L20" t="str">
            <v xml:space="preserve">  </v>
          </cell>
          <cell r="M20" t="str">
            <v xml:space="preserve">  </v>
          </cell>
          <cell r="N20" t="str">
            <v xml:space="preserve">  </v>
          </cell>
          <cell r="O20" t="str">
            <v xml:space="preserve">  </v>
          </cell>
          <cell r="P20" t="str">
            <v xml:space="preserve">  </v>
          </cell>
        </row>
        <row r="21">
          <cell r="A21" t="str">
            <v>PUBLICIDAD Y PROPAGANDA</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cell r="N21" t="str">
            <v xml:space="preserve">  </v>
          </cell>
          <cell r="O21" t="str">
            <v xml:space="preserve">  </v>
          </cell>
          <cell r="P21">
            <v>107</v>
          </cell>
        </row>
        <row r="22">
          <cell r="A22" t="str">
            <v>PUBLICIDAD Y PROPAGANDA</v>
          </cell>
          <cell r="E22" t="str">
            <v xml:space="preserve">  </v>
          </cell>
          <cell r="F22" t="str">
            <v xml:space="preserve">  </v>
          </cell>
          <cell r="G22" t="str">
            <v xml:space="preserve">  </v>
          </cell>
          <cell r="H22" t="str">
            <v xml:space="preserve">  </v>
          </cell>
          <cell r="I22">
            <v>347</v>
          </cell>
          <cell r="J22">
            <v>347</v>
          </cell>
          <cell r="K22">
            <v>347</v>
          </cell>
          <cell r="L22">
            <v>347</v>
          </cell>
          <cell r="M22">
            <v>347</v>
          </cell>
          <cell r="N22">
            <v>347</v>
          </cell>
          <cell r="O22">
            <v>129</v>
          </cell>
          <cell r="P22">
            <v>129</v>
          </cell>
        </row>
        <row r="23">
          <cell r="A23" t="str">
            <v>PUBLICIDAD Y PROPAGANDA</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cell r="N23">
            <v>1320</v>
          </cell>
          <cell r="O23" t="str">
            <v xml:space="preserve">  </v>
          </cell>
          <cell r="P23" t="str">
            <v xml:space="preserve">  </v>
          </cell>
        </row>
        <row r="24">
          <cell r="A24" t="str">
            <v>PUBLICIDAD Y PROPAGANDA</v>
          </cell>
          <cell r="E24">
            <v>103</v>
          </cell>
          <cell r="F24">
            <v>103</v>
          </cell>
          <cell r="G24">
            <v>172</v>
          </cell>
          <cell r="H24">
            <v>172</v>
          </cell>
          <cell r="I24">
            <v>70</v>
          </cell>
          <cell r="J24">
            <v>70</v>
          </cell>
          <cell r="K24">
            <v>70</v>
          </cell>
          <cell r="L24">
            <v>70</v>
          </cell>
          <cell r="M24">
            <v>204</v>
          </cell>
          <cell r="N24">
            <v>204</v>
          </cell>
          <cell r="O24">
            <v>204</v>
          </cell>
          <cell r="P24">
            <v>204</v>
          </cell>
        </row>
        <row r="25">
          <cell r="A25" t="str">
            <v>PUBLICIDAD Y PROPAGANDA</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cell r="N25">
            <v>333</v>
          </cell>
          <cell r="O25" t="str">
            <v xml:space="preserve">  </v>
          </cell>
          <cell r="P25">
            <v>257</v>
          </cell>
        </row>
        <row r="26">
          <cell r="A26" t="str">
            <v>PUBLICIDAD Y PROPAGANDA</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cell r="N26" t="str">
            <v xml:space="preserve">  </v>
          </cell>
          <cell r="O26" t="str">
            <v xml:space="preserve">  </v>
          </cell>
          <cell r="P26">
            <v>48</v>
          </cell>
        </row>
        <row r="27">
          <cell r="A27" t="str">
            <v>SUMINISTROS</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cell r="N27">
            <v>867</v>
          </cell>
          <cell r="O27">
            <v>434</v>
          </cell>
          <cell r="P27">
            <v>434</v>
          </cell>
        </row>
        <row r="28">
          <cell r="A28" t="str">
            <v>SUMINISTROS</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cell r="N28">
            <v>326</v>
          </cell>
          <cell r="O28">
            <v>66</v>
          </cell>
          <cell r="P28">
            <v>66</v>
          </cell>
        </row>
        <row r="29">
          <cell r="A29" t="str">
            <v>OTROS SERVICIOS</v>
          </cell>
          <cell r="E29" t="str">
            <v xml:space="preserve">  </v>
          </cell>
          <cell r="F29" t="str">
            <v xml:space="preserve">  </v>
          </cell>
          <cell r="G29" t="str">
            <v xml:space="preserve">  </v>
          </cell>
          <cell r="H29">
            <v>436</v>
          </cell>
          <cell r="I29" t="str">
            <v xml:space="preserve">  </v>
          </cell>
          <cell r="J29" t="str">
            <v xml:space="preserve">  </v>
          </cell>
          <cell r="K29" t="str">
            <v xml:space="preserve">  </v>
          </cell>
          <cell r="L29" t="str">
            <v xml:space="preserve">  </v>
          </cell>
          <cell r="M29" t="str">
            <v xml:space="preserve">  </v>
          </cell>
          <cell r="N29" t="str">
            <v xml:space="preserve">  </v>
          </cell>
          <cell r="O29">
            <v>15</v>
          </cell>
          <cell r="P29">
            <v>15</v>
          </cell>
        </row>
        <row r="30">
          <cell r="A30" t="str">
            <v>OTROS SERVICIOS</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v>271</v>
          </cell>
          <cell r="M30" t="str">
            <v xml:space="preserve">  </v>
          </cell>
          <cell r="N30" t="str">
            <v xml:space="preserve">  </v>
          </cell>
          <cell r="O30">
            <v>95</v>
          </cell>
          <cell r="P30">
            <v>192</v>
          </cell>
        </row>
        <row r="31">
          <cell r="A31" t="str">
            <v>OTROS SERVICIOS</v>
          </cell>
          <cell r="E31">
            <v>137</v>
          </cell>
          <cell r="F31">
            <v>145</v>
          </cell>
          <cell r="G31">
            <v>165</v>
          </cell>
          <cell r="H31">
            <v>116</v>
          </cell>
          <cell r="I31">
            <v>694</v>
          </cell>
          <cell r="J31">
            <v>218</v>
          </cell>
          <cell r="K31">
            <v>331</v>
          </cell>
          <cell r="L31">
            <v>216</v>
          </cell>
          <cell r="M31">
            <v>218</v>
          </cell>
          <cell r="N31">
            <v>213</v>
          </cell>
          <cell r="O31">
            <v>257</v>
          </cell>
          <cell r="P31">
            <v>248</v>
          </cell>
        </row>
        <row r="32">
          <cell r="A32" t="str">
            <v>OTROS SERVICIOS</v>
          </cell>
          <cell r="E32" t="str">
            <v xml:space="preserve">  </v>
          </cell>
          <cell r="F32" t="str">
            <v xml:space="preserve">  </v>
          </cell>
          <cell r="G32" t="str">
            <v xml:space="preserve">  </v>
          </cell>
          <cell r="H32" t="str">
            <v xml:space="preserve">  </v>
          </cell>
          <cell r="I32" t="str">
            <v xml:space="preserve">  </v>
          </cell>
          <cell r="J32" t="str">
            <v xml:space="preserve">  </v>
          </cell>
          <cell r="K32" t="str">
            <v xml:space="preserve">  </v>
          </cell>
          <cell r="L32">
            <v>3</v>
          </cell>
          <cell r="M32">
            <v>3</v>
          </cell>
          <cell r="N32">
            <v>3</v>
          </cell>
          <cell r="O32">
            <v>10</v>
          </cell>
          <cell r="P32">
            <v>7</v>
          </cell>
        </row>
        <row r="33">
          <cell r="A33" t="str">
            <v>OTROS SERVICIOS</v>
          </cell>
          <cell r="E33" t="str">
            <v xml:space="preserve">  </v>
          </cell>
          <cell r="F33" t="str">
            <v xml:space="preserve">  </v>
          </cell>
          <cell r="G33" t="str">
            <v xml:space="preserve">  </v>
          </cell>
          <cell r="H33" t="str">
            <v xml:space="preserve">  </v>
          </cell>
          <cell r="I33" t="str">
            <v xml:space="preserve">  </v>
          </cell>
          <cell r="J33" t="str">
            <v xml:space="preserve">  </v>
          </cell>
          <cell r="K33" t="str">
            <v xml:space="preserve">  </v>
          </cell>
          <cell r="L33">
            <v>454</v>
          </cell>
          <cell r="M33" t="str">
            <v xml:space="preserve">  </v>
          </cell>
          <cell r="N33" t="str">
            <v xml:space="preserve">  </v>
          </cell>
          <cell r="O33">
            <v>277</v>
          </cell>
          <cell r="P33">
            <v>328</v>
          </cell>
        </row>
        <row r="34">
          <cell r="A34" t="str">
            <v>OTROS SERVICIOS</v>
          </cell>
          <cell r="E34" t="str">
            <v xml:space="preserve">  </v>
          </cell>
          <cell r="F34" t="str">
            <v xml:space="preserve">  </v>
          </cell>
          <cell r="G34" t="str">
            <v xml:space="preserve">  </v>
          </cell>
          <cell r="H34" t="str">
            <v xml:space="preserve">  </v>
          </cell>
          <cell r="I34" t="str">
            <v xml:space="preserve">  </v>
          </cell>
          <cell r="J34" t="str">
            <v xml:space="preserve">  </v>
          </cell>
          <cell r="K34" t="str">
            <v xml:space="preserve">  </v>
          </cell>
          <cell r="L34" t="str">
            <v xml:space="preserve">  </v>
          </cell>
          <cell r="M34" t="str">
            <v xml:space="preserve">  </v>
          </cell>
          <cell r="N34">
            <v>10</v>
          </cell>
          <cell r="O34">
            <v>10</v>
          </cell>
          <cell r="P34" t="str">
            <v xml:space="preserve">  </v>
          </cell>
        </row>
        <row r="35">
          <cell r="A35" t="str">
            <v>OTROS SERVICIOS</v>
          </cell>
          <cell r="E35" t="str">
            <v xml:space="preserve">  </v>
          </cell>
          <cell r="F35">
            <v>131</v>
          </cell>
          <cell r="G35" t="str">
            <v xml:space="preserve">  </v>
          </cell>
          <cell r="H35" t="str">
            <v xml:space="preserve">  </v>
          </cell>
          <cell r="I35" t="str">
            <v xml:space="preserve">  </v>
          </cell>
          <cell r="J35" t="str">
            <v xml:space="preserve">  </v>
          </cell>
          <cell r="K35" t="str">
            <v xml:space="preserve">  </v>
          </cell>
          <cell r="L35" t="str">
            <v xml:space="preserve">  </v>
          </cell>
          <cell r="M35" t="str">
            <v xml:space="preserve">  </v>
          </cell>
          <cell r="N35" t="str">
            <v xml:space="preserve">  </v>
          </cell>
          <cell r="O35" t="str">
            <v xml:space="preserve">  </v>
          </cell>
          <cell r="P35" t="str">
            <v xml:space="preserve">  </v>
          </cell>
        </row>
        <row r="36">
          <cell r="A36" t="str">
            <v>OTROS SERVICIOS</v>
          </cell>
          <cell r="E36" t="str">
            <v xml:space="preserve">  </v>
          </cell>
          <cell r="F36" t="str">
            <v xml:space="preserve">  </v>
          </cell>
          <cell r="G36" t="str">
            <v xml:space="preserve">  </v>
          </cell>
          <cell r="H36" t="str">
            <v xml:space="preserve">  </v>
          </cell>
          <cell r="I36" t="str">
            <v xml:space="preserve">  </v>
          </cell>
          <cell r="J36" t="str">
            <v xml:space="preserve">  </v>
          </cell>
          <cell r="K36" t="str">
            <v xml:space="preserve">  </v>
          </cell>
          <cell r="L36" t="str">
            <v xml:space="preserve">  </v>
          </cell>
          <cell r="M36">
            <v>280</v>
          </cell>
          <cell r="N36" t="str">
            <v xml:space="preserve">  </v>
          </cell>
          <cell r="O36" t="str">
            <v xml:space="preserve">  </v>
          </cell>
          <cell r="P36" t="str">
            <v xml:space="preserve">  </v>
          </cell>
        </row>
        <row r="37">
          <cell r="A37" t="str">
            <v>OTROS SERVICIOS</v>
          </cell>
          <cell r="E37" t="str">
            <v xml:space="preserve">  </v>
          </cell>
          <cell r="F37" t="str">
            <v xml:space="preserve">  </v>
          </cell>
          <cell r="G37" t="str">
            <v xml:space="preserve">  </v>
          </cell>
          <cell r="H37" t="str">
            <v xml:space="preserve">  </v>
          </cell>
          <cell r="I37" t="str">
            <v xml:space="preserve">  </v>
          </cell>
          <cell r="J37" t="str">
            <v xml:space="preserve">  </v>
          </cell>
          <cell r="K37" t="str">
            <v xml:space="preserve">  </v>
          </cell>
          <cell r="L37" t="str">
            <v xml:space="preserve">  </v>
          </cell>
          <cell r="M37" t="str">
            <v xml:space="preserve">  </v>
          </cell>
          <cell r="N37" t="str">
            <v xml:space="preserve">  </v>
          </cell>
          <cell r="O37">
            <v>171</v>
          </cell>
          <cell r="P37">
            <v>472</v>
          </cell>
        </row>
        <row r="38">
          <cell r="A38" t="str">
            <v>TRIBUTOS</v>
          </cell>
          <cell r="E38" t="str">
            <v xml:space="preserve">  </v>
          </cell>
          <cell r="F38" t="str">
            <v xml:space="preserve">  </v>
          </cell>
          <cell r="G38" t="str">
            <v xml:space="preserve">  </v>
          </cell>
          <cell r="H38" t="str">
            <v xml:space="preserve">  </v>
          </cell>
          <cell r="I38" t="str">
            <v xml:space="preserve">  </v>
          </cell>
          <cell r="J38">
            <v>280</v>
          </cell>
          <cell r="K38">
            <v>79</v>
          </cell>
          <cell r="L38" t="str">
            <v xml:space="preserve">  </v>
          </cell>
          <cell r="M38" t="str">
            <v xml:space="preserve">  </v>
          </cell>
          <cell r="N38" t="str">
            <v xml:space="preserve">  </v>
          </cell>
          <cell r="O38" t="str">
            <v xml:space="preserve">  </v>
          </cell>
          <cell r="P38">
            <v>85</v>
          </cell>
        </row>
        <row r="39">
          <cell r="A39" t="str">
            <v>TRIBUTOS</v>
          </cell>
          <cell r="E39" t="str">
            <v xml:space="preserve">  </v>
          </cell>
          <cell r="F39" t="str">
            <v xml:space="preserve">  </v>
          </cell>
          <cell r="G39" t="str">
            <v xml:space="preserve">  </v>
          </cell>
          <cell r="H39" t="str">
            <v xml:space="preserve">  </v>
          </cell>
          <cell r="I39" t="str">
            <v xml:space="preserve">  </v>
          </cell>
          <cell r="J39" t="str">
            <v xml:space="preserve">  </v>
          </cell>
          <cell r="K39" t="str">
            <v xml:space="preserve">  </v>
          </cell>
          <cell r="L39" t="str">
            <v xml:space="preserve">  </v>
          </cell>
          <cell r="M39" t="str">
            <v xml:space="preserve">  </v>
          </cell>
          <cell r="N39" t="str">
            <v xml:space="preserve">  </v>
          </cell>
          <cell r="O39">
            <v>126</v>
          </cell>
          <cell r="P39" t="str">
            <v xml:space="preserve">  </v>
          </cell>
        </row>
        <row r="40">
          <cell r="A40" t="str">
            <v>TRIBUTOS</v>
          </cell>
          <cell r="E40">
            <v>866</v>
          </cell>
          <cell r="F40" t="str">
            <v xml:space="preserve">  </v>
          </cell>
          <cell r="G40" t="str">
            <v xml:space="preserve">  </v>
          </cell>
          <cell r="H40" t="str">
            <v xml:space="preserve">  </v>
          </cell>
          <cell r="I40" t="str">
            <v xml:space="preserve">  </v>
          </cell>
          <cell r="J40" t="str">
            <v xml:space="preserve">  </v>
          </cell>
          <cell r="K40">
            <v>788</v>
          </cell>
          <cell r="L40" t="str">
            <v xml:space="preserve">  </v>
          </cell>
          <cell r="M40" t="str">
            <v xml:space="preserve">  </v>
          </cell>
          <cell r="N40" t="str">
            <v xml:space="preserve">  </v>
          </cell>
          <cell r="O40" t="str">
            <v xml:space="preserve">  </v>
          </cell>
          <cell r="P40" t="str">
            <v xml:space="preserve">  </v>
          </cell>
        </row>
        <row r="41">
          <cell r="A41" t="str">
            <v>SALARIOS Y S.S. EMPRESA</v>
          </cell>
          <cell r="E41" t="str">
            <v xml:space="preserve">  </v>
          </cell>
          <cell r="F41" t="str">
            <v xml:space="preserve">  </v>
          </cell>
          <cell r="G41" t="str">
            <v xml:space="preserve">  </v>
          </cell>
          <cell r="H41" t="str">
            <v xml:space="preserve">  </v>
          </cell>
          <cell r="I41" t="str">
            <v xml:space="preserve">  </v>
          </cell>
          <cell r="J41" t="str">
            <v xml:space="preserve">  </v>
          </cell>
          <cell r="K41">
            <v>667</v>
          </cell>
          <cell r="L41">
            <v>598</v>
          </cell>
          <cell r="M41" t="str">
            <v xml:space="preserve">  </v>
          </cell>
          <cell r="N41">
            <v>1568</v>
          </cell>
          <cell r="O41">
            <v>1819</v>
          </cell>
          <cell r="P41">
            <v>1819</v>
          </cell>
        </row>
        <row r="42">
          <cell r="A42" t="str">
            <v>SALARIOS Y S.S. EMPRESA</v>
          </cell>
          <cell r="E42" t="str">
            <v xml:space="preserve">  </v>
          </cell>
          <cell r="F42" t="str">
            <v xml:space="preserve">  </v>
          </cell>
          <cell r="G42" t="str">
            <v xml:space="preserve">  </v>
          </cell>
          <cell r="H42" t="str">
            <v xml:space="preserve">  </v>
          </cell>
          <cell r="I42" t="str">
            <v xml:space="preserve">  </v>
          </cell>
          <cell r="J42" t="str">
            <v xml:space="preserve">  </v>
          </cell>
          <cell r="K42">
            <v>218</v>
          </cell>
          <cell r="L42">
            <v>586</v>
          </cell>
          <cell r="M42">
            <v>586</v>
          </cell>
          <cell r="N42">
            <v>590</v>
          </cell>
          <cell r="O42">
            <v>594</v>
          </cell>
          <cell r="P42">
            <v>594</v>
          </cell>
        </row>
        <row r="43">
          <cell r="A43" t="str">
            <v>OTROS GASTOS SOCIALES</v>
          </cell>
          <cell r="E43" t="str">
            <v xml:space="preserve">  </v>
          </cell>
          <cell r="F43" t="str">
            <v xml:space="preserve">  </v>
          </cell>
          <cell r="G43" t="str">
            <v xml:space="preserve">  </v>
          </cell>
          <cell r="H43" t="str">
            <v xml:space="preserve">  </v>
          </cell>
          <cell r="I43" t="str">
            <v xml:space="preserve">  </v>
          </cell>
          <cell r="J43" t="str">
            <v xml:space="preserve">  </v>
          </cell>
          <cell r="K43" t="str">
            <v xml:space="preserve">  </v>
          </cell>
          <cell r="L43" t="str">
            <v xml:space="preserve">  </v>
          </cell>
          <cell r="M43">
            <v>52</v>
          </cell>
          <cell r="N43" t="str">
            <v xml:space="preserve">  </v>
          </cell>
          <cell r="O43" t="str">
            <v xml:space="preserve">  </v>
          </cell>
          <cell r="P43" t="str">
            <v xml:space="preserve">  </v>
          </cell>
        </row>
        <row r="44">
          <cell r="A44" t="str">
            <v>OTROS GASTOS SOCIALES</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t="str">
            <v xml:space="preserve">  </v>
          </cell>
          <cell r="P44">
            <v>6</v>
          </cell>
        </row>
        <row r="45">
          <cell r="A45" t="str">
            <v>GASTOS FINANCIEROS</v>
          </cell>
          <cell r="E45" t="str">
            <v xml:space="preserve">  </v>
          </cell>
          <cell r="F45" t="str">
            <v xml:space="preserve">  </v>
          </cell>
          <cell r="G45" t="str">
            <v xml:space="preserve">  </v>
          </cell>
          <cell r="H45">
            <v>169</v>
          </cell>
          <cell r="I45">
            <v>167</v>
          </cell>
          <cell r="J45">
            <v>725</v>
          </cell>
          <cell r="K45">
            <v>736</v>
          </cell>
          <cell r="L45">
            <v>2110</v>
          </cell>
          <cell r="M45">
            <v>2519</v>
          </cell>
          <cell r="N45">
            <v>3115</v>
          </cell>
          <cell r="O45">
            <v>3078</v>
          </cell>
          <cell r="P45">
            <v>3040</v>
          </cell>
        </row>
        <row r="46">
          <cell r="A46" t="str">
            <v>GASTOS FINANCIEROS INMUEBLE</v>
          </cell>
          <cell r="E46" t="str">
            <v xml:space="preserve">  </v>
          </cell>
          <cell r="F46">
            <v>71101</v>
          </cell>
          <cell r="G46" t="str">
            <v xml:space="preserve">  </v>
          </cell>
          <cell r="H46" t="str">
            <v xml:space="preserve">  </v>
          </cell>
          <cell r="I46">
            <v>133152</v>
          </cell>
          <cell r="J46" t="str">
            <v xml:space="preserve">  </v>
          </cell>
          <cell r="K46" t="str">
            <v xml:space="preserve">  </v>
          </cell>
          <cell r="L46">
            <v>137553</v>
          </cell>
          <cell r="M46" t="str">
            <v xml:space="preserve">  </v>
          </cell>
          <cell r="N46" t="str">
            <v xml:space="preserve">  </v>
          </cell>
          <cell r="O46">
            <v>161774</v>
          </cell>
          <cell r="P46">
            <v>67417</v>
          </cell>
        </row>
        <row r="47">
          <cell r="A47" t="str">
            <v>GASTOS FINANCIEROS</v>
          </cell>
          <cell r="E47" t="str">
            <v xml:space="preserve">  </v>
          </cell>
          <cell r="F47" t="str">
            <v xml:space="preserve">  </v>
          </cell>
          <cell r="G47" t="str">
            <v xml:space="preserve">  </v>
          </cell>
          <cell r="H47" t="str">
            <v xml:space="preserve">  </v>
          </cell>
          <cell r="I47" t="str">
            <v xml:space="preserve">  </v>
          </cell>
          <cell r="J47" t="str">
            <v xml:space="preserve">  </v>
          </cell>
          <cell r="K47" t="str">
            <v xml:space="preserve">  </v>
          </cell>
          <cell r="L47" t="str">
            <v xml:space="preserve">  </v>
          </cell>
          <cell r="M47" t="str">
            <v xml:space="preserve">  </v>
          </cell>
          <cell r="N47">
            <v>8</v>
          </cell>
          <cell r="O47">
            <v>2</v>
          </cell>
          <cell r="P47">
            <v>2</v>
          </cell>
        </row>
        <row r="48">
          <cell r="A48" t="str">
            <v>GASTOS FINANCIEROS</v>
          </cell>
          <cell r="E48">
            <v>228</v>
          </cell>
          <cell r="F48">
            <v>228</v>
          </cell>
          <cell r="G48">
            <v>913</v>
          </cell>
          <cell r="H48" t="str">
            <v xml:space="preserve">  </v>
          </cell>
          <cell r="I48" t="str">
            <v xml:space="preserve">  </v>
          </cell>
          <cell r="J48">
            <v>685</v>
          </cell>
          <cell r="K48" t="str">
            <v xml:space="preserve">  </v>
          </cell>
          <cell r="L48" t="str">
            <v xml:space="preserve">  </v>
          </cell>
          <cell r="M48">
            <v>685</v>
          </cell>
          <cell r="N48" t="str">
            <v xml:space="preserve">  </v>
          </cell>
          <cell r="O48" t="str">
            <v xml:space="preserve">  </v>
          </cell>
          <cell r="P48">
            <v>685</v>
          </cell>
        </row>
        <row r="49">
          <cell r="A49" t="str">
            <v>GASTOS EXTRAORDINARIOS</v>
          </cell>
          <cell r="E49" t="str">
            <v xml:space="preserve">  </v>
          </cell>
          <cell r="F49" t="str">
            <v xml:space="preserve">  </v>
          </cell>
          <cell r="G49" t="str">
            <v xml:space="preserve">  </v>
          </cell>
          <cell r="H49" t="str">
            <v xml:space="preserve">  </v>
          </cell>
          <cell r="I49" t="str">
            <v xml:space="preserve">  </v>
          </cell>
          <cell r="J49" t="str">
            <v xml:space="preserve">  </v>
          </cell>
          <cell r="K49" t="str">
            <v xml:space="preserve">  </v>
          </cell>
          <cell r="L49" t="str">
            <v xml:space="preserve">  </v>
          </cell>
          <cell r="M49" t="str">
            <v xml:space="preserve">  </v>
          </cell>
          <cell r="N49" t="str">
            <v xml:space="preserve">  </v>
          </cell>
          <cell r="O49" t="str">
            <v xml:space="preserve">  </v>
          </cell>
          <cell r="P49" t="str">
            <v xml:space="preserve">  </v>
          </cell>
        </row>
        <row r="50">
          <cell r="A50" t="e">
            <v>#N/A</v>
          </cell>
        </row>
        <row r="51">
          <cell r="A51" t="e">
            <v>#N/A</v>
          </cell>
        </row>
        <row r="52">
          <cell r="A52" t="e">
            <v>#N/A</v>
          </cell>
        </row>
        <row r="53">
          <cell r="A53" t="e">
            <v>#N/A</v>
          </cell>
        </row>
        <row r="54">
          <cell r="A54" t="e">
            <v>#N/A</v>
          </cell>
        </row>
        <row r="55">
          <cell r="A55" t="e">
            <v>#N/A</v>
          </cell>
        </row>
        <row r="56">
          <cell r="A56" t="e">
            <v>#N/A</v>
          </cell>
        </row>
        <row r="57">
          <cell r="A57" t="e">
            <v>#N/A</v>
          </cell>
        </row>
        <row r="58">
          <cell r="A58" t="e">
            <v>#N/A</v>
          </cell>
        </row>
        <row r="59">
          <cell r="A59" t="e">
            <v>#N/A</v>
          </cell>
        </row>
        <row r="60">
          <cell r="A60" t="e">
            <v>#N/A</v>
          </cell>
        </row>
        <row r="61">
          <cell r="A61" t="e">
            <v>#N/A</v>
          </cell>
        </row>
        <row r="62">
          <cell r="A62" t="e">
            <v>#N/A</v>
          </cell>
        </row>
        <row r="63">
          <cell r="A63" t="e">
            <v>#N/A</v>
          </cell>
        </row>
        <row r="64">
          <cell r="A64" t="e">
            <v>#N/A</v>
          </cell>
        </row>
        <row r="65">
          <cell r="A65" t="e">
            <v>#N/A</v>
          </cell>
        </row>
        <row r="66">
          <cell r="A66" t="e">
            <v>#N/A</v>
          </cell>
        </row>
        <row r="67">
          <cell r="A67" t="e">
            <v>#N/A</v>
          </cell>
        </row>
        <row r="68">
          <cell r="A68" t="e">
            <v>#N/A</v>
          </cell>
        </row>
        <row r="69">
          <cell r="A69" t="e">
            <v>#N/A</v>
          </cell>
        </row>
        <row r="70">
          <cell r="A70" t="e">
            <v>#N/A</v>
          </cell>
        </row>
        <row r="71">
          <cell r="A71" t="e">
            <v>#N/A</v>
          </cell>
        </row>
        <row r="72">
          <cell r="A72" t="e">
            <v>#N/A</v>
          </cell>
        </row>
        <row r="73">
          <cell r="A73" t="e">
            <v>#N/A</v>
          </cell>
        </row>
        <row r="74">
          <cell r="A74" t="e">
            <v>#N/A</v>
          </cell>
        </row>
        <row r="75">
          <cell r="A75" t="e">
            <v>#N/A</v>
          </cell>
        </row>
        <row r="76">
          <cell r="A76" t="e">
            <v>#N/A</v>
          </cell>
        </row>
        <row r="77">
          <cell r="A77" t="e">
            <v>#N/A</v>
          </cell>
        </row>
        <row r="78">
          <cell r="A78" t="e">
            <v>#N/A</v>
          </cell>
        </row>
        <row r="79">
          <cell r="A79" t="e">
            <v>#N/A</v>
          </cell>
        </row>
        <row r="80">
          <cell r="A80" t="e">
            <v>#N/A</v>
          </cell>
        </row>
        <row r="81">
          <cell r="A81" t="e">
            <v>#N/A</v>
          </cell>
        </row>
        <row r="82">
          <cell r="A82" t="e">
            <v>#N/A</v>
          </cell>
        </row>
        <row r="83">
          <cell r="A83" t="e">
            <v>#N/A</v>
          </cell>
        </row>
        <row r="84">
          <cell r="A84" t="e">
            <v>#N/A</v>
          </cell>
        </row>
        <row r="85">
          <cell r="A85" t="e">
            <v>#N/A</v>
          </cell>
        </row>
        <row r="86">
          <cell r="A86" t="e">
            <v>#N/A</v>
          </cell>
        </row>
        <row r="87">
          <cell r="A87" t="e">
            <v>#N/A</v>
          </cell>
        </row>
        <row r="88">
          <cell r="A88" t="e">
            <v>#N/A</v>
          </cell>
        </row>
        <row r="89">
          <cell r="A89" t="e">
            <v>#N/A</v>
          </cell>
        </row>
        <row r="90">
          <cell r="A90" t="e">
            <v>#N/A</v>
          </cell>
        </row>
        <row r="91">
          <cell r="A91" t="e">
            <v>#N/A</v>
          </cell>
        </row>
        <row r="92">
          <cell r="A92" t="e">
            <v>#N/A</v>
          </cell>
        </row>
        <row r="93">
          <cell r="A93" t="e">
            <v>#N/A</v>
          </cell>
        </row>
        <row r="94">
          <cell r="A94" t="e">
            <v>#N/A</v>
          </cell>
        </row>
        <row r="95">
          <cell r="A95" t="e">
            <v>#N/A</v>
          </cell>
        </row>
        <row r="96">
          <cell r="A96" t="e">
            <v>#N/A</v>
          </cell>
        </row>
        <row r="97">
          <cell r="A97" t="e">
            <v>#N/A</v>
          </cell>
        </row>
        <row r="98">
          <cell r="A98" t="e">
            <v>#N/A</v>
          </cell>
        </row>
        <row r="99">
          <cell r="A99" t="e">
            <v>#N/A</v>
          </cell>
        </row>
        <row r="100">
          <cell r="A100" t="e">
            <v>#N/A</v>
          </cell>
        </row>
        <row r="101">
          <cell r="A101" t="e">
            <v>#N/A</v>
          </cell>
        </row>
        <row r="102">
          <cell r="A102" t="e">
            <v>#N/A</v>
          </cell>
        </row>
        <row r="103">
          <cell r="A103" t="e">
            <v>#N/A</v>
          </cell>
        </row>
        <row r="104">
          <cell r="A104" t="e">
            <v>#N/A</v>
          </cell>
        </row>
        <row r="105">
          <cell r="A105" t="e">
            <v>#N/A</v>
          </cell>
        </row>
        <row r="106">
          <cell r="A106" t="e">
            <v>#N/A</v>
          </cell>
        </row>
        <row r="107">
          <cell r="A107" t="e">
            <v>#N/A</v>
          </cell>
        </row>
        <row r="108">
          <cell r="A108" t="e">
            <v>#N/A</v>
          </cell>
        </row>
        <row r="109">
          <cell r="A109" t="e">
            <v>#N/A</v>
          </cell>
        </row>
        <row r="110">
          <cell r="A110" t="e">
            <v>#N/A</v>
          </cell>
        </row>
        <row r="111">
          <cell r="A111" t="e">
            <v>#N/A</v>
          </cell>
        </row>
        <row r="112">
          <cell r="A112" t="e">
            <v>#N/A</v>
          </cell>
        </row>
        <row r="113">
          <cell r="A113" t="e">
            <v>#N/A</v>
          </cell>
        </row>
        <row r="114">
          <cell r="A114" t="e">
            <v>#N/A</v>
          </cell>
        </row>
        <row r="115">
          <cell r="A115" t="e">
            <v>#N/A</v>
          </cell>
        </row>
        <row r="116">
          <cell r="A116" t="e">
            <v>#N/A</v>
          </cell>
        </row>
        <row r="117">
          <cell r="A117" t="e">
            <v>#N/A</v>
          </cell>
        </row>
        <row r="118">
          <cell r="A118" t="e">
            <v>#N/A</v>
          </cell>
        </row>
        <row r="119">
          <cell r="A119" t="e">
            <v>#N/A</v>
          </cell>
        </row>
        <row r="120">
          <cell r="A120" t="e">
            <v>#N/A</v>
          </cell>
        </row>
        <row r="121">
          <cell r="A121" t="e">
            <v>#N/A</v>
          </cell>
        </row>
        <row r="122">
          <cell r="A122" t="e">
            <v>#N/A</v>
          </cell>
        </row>
        <row r="123">
          <cell r="A123" t="e">
            <v>#N/A</v>
          </cell>
        </row>
        <row r="124">
          <cell r="A124" t="e">
            <v>#N/A</v>
          </cell>
        </row>
        <row r="125">
          <cell r="A125" t="e">
            <v>#N/A</v>
          </cell>
        </row>
        <row r="126">
          <cell r="A126" t="e">
            <v>#N/A</v>
          </cell>
        </row>
        <row r="127">
          <cell r="A127" t="e">
            <v>#N/A</v>
          </cell>
        </row>
        <row r="128">
          <cell r="A128" t="e">
            <v>#N/A</v>
          </cell>
        </row>
        <row r="129">
          <cell r="A129" t="e">
            <v>#N/A</v>
          </cell>
        </row>
        <row r="130">
          <cell r="A130" t="e">
            <v>#N/A</v>
          </cell>
        </row>
        <row r="131">
          <cell r="A131" t="e">
            <v>#N/A</v>
          </cell>
        </row>
        <row r="132">
          <cell r="A132" t="e">
            <v>#N/A</v>
          </cell>
        </row>
        <row r="133">
          <cell r="A133" t="e">
            <v>#N/A</v>
          </cell>
        </row>
        <row r="134">
          <cell r="A134" t="e">
            <v>#N/A</v>
          </cell>
        </row>
        <row r="135">
          <cell r="A135" t="e">
            <v>#N/A</v>
          </cell>
        </row>
        <row r="136">
          <cell r="A136" t="e">
            <v>#N/A</v>
          </cell>
        </row>
        <row r="137">
          <cell r="A137" t="e">
            <v>#N/A</v>
          </cell>
        </row>
        <row r="138">
          <cell r="A138" t="e">
            <v>#N/A</v>
          </cell>
        </row>
        <row r="139">
          <cell r="A139" t="e">
            <v>#N/A</v>
          </cell>
        </row>
        <row r="140">
          <cell r="A140" t="e">
            <v>#N/A</v>
          </cell>
        </row>
        <row r="141">
          <cell r="A141" t="e">
            <v>#N/A</v>
          </cell>
        </row>
        <row r="142">
          <cell r="A142" t="e">
            <v>#N/A</v>
          </cell>
        </row>
        <row r="143">
          <cell r="A143" t="e">
            <v>#N/A</v>
          </cell>
        </row>
        <row r="144">
          <cell r="A144" t="e">
            <v>#N/A</v>
          </cell>
        </row>
        <row r="145">
          <cell r="A145" t="e">
            <v>#N/A</v>
          </cell>
        </row>
        <row r="146">
          <cell r="A146" t="e">
            <v>#N/A</v>
          </cell>
        </row>
        <row r="147">
          <cell r="A147" t="e">
            <v>#N/A</v>
          </cell>
        </row>
        <row r="148">
          <cell r="A148" t="e">
            <v>#N/A</v>
          </cell>
        </row>
        <row r="149">
          <cell r="A149" t="e">
            <v>#N/A</v>
          </cell>
        </row>
        <row r="150">
          <cell r="A150" t="e">
            <v>#N/A</v>
          </cell>
        </row>
        <row r="151">
          <cell r="A151" t="e">
            <v>#N/A</v>
          </cell>
        </row>
        <row r="152">
          <cell r="A152" t="e">
            <v>#N/A</v>
          </cell>
        </row>
        <row r="153">
          <cell r="A153" t="e">
            <v>#N/A</v>
          </cell>
        </row>
        <row r="154">
          <cell r="A154" t="e">
            <v>#N/A</v>
          </cell>
        </row>
        <row r="155">
          <cell r="A155" t="e">
            <v>#N/A</v>
          </cell>
        </row>
        <row r="156">
          <cell r="A156" t="e">
            <v>#N/A</v>
          </cell>
        </row>
        <row r="157">
          <cell r="A157" t="e">
            <v>#N/A</v>
          </cell>
        </row>
        <row r="158">
          <cell r="A158" t="e">
            <v>#N/A</v>
          </cell>
        </row>
        <row r="159">
          <cell r="A159" t="e">
            <v>#N/A</v>
          </cell>
        </row>
        <row r="160">
          <cell r="A160" t="e">
            <v>#N/A</v>
          </cell>
        </row>
        <row r="161">
          <cell r="A161" t="e">
            <v>#N/A</v>
          </cell>
        </row>
        <row r="162">
          <cell r="A162" t="e">
            <v>#N/A</v>
          </cell>
        </row>
        <row r="163">
          <cell r="A163" t="e">
            <v>#N/A</v>
          </cell>
        </row>
        <row r="164">
          <cell r="A164" t="e">
            <v>#N/A</v>
          </cell>
        </row>
        <row r="165">
          <cell r="A165" t="e">
            <v>#N/A</v>
          </cell>
        </row>
        <row r="166">
          <cell r="A166" t="e">
            <v>#N/A</v>
          </cell>
        </row>
        <row r="167">
          <cell r="A167" t="e">
            <v>#N/A</v>
          </cell>
        </row>
        <row r="168">
          <cell r="A168" t="e">
            <v>#N/A</v>
          </cell>
        </row>
        <row r="169">
          <cell r="A169" t="e">
            <v>#N/A</v>
          </cell>
        </row>
        <row r="170">
          <cell r="A170" t="e">
            <v>#N/A</v>
          </cell>
        </row>
        <row r="171">
          <cell r="A171" t="e">
            <v>#N/A</v>
          </cell>
        </row>
        <row r="172">
          <cell r="A172" t="e">
            <v>#N/A</v>
          </cell>
        </row>
        <row r="173">
          <cell r="A173" t="e">
            <v>#N/A</v>
          </cell>
        </row>
        <row r="174">
          <cell r="A174" t="e">
            <v>#N/A</v>
          </cell>
        </row>
        <row r="175">
          <cell r="A175" t="e">
            <v>#N/A</v>
          </cell>
        </row>
        <row r="176">
          <cell r="A176" t="e">
            <v>#N/A</v>
          </cell>
        </row>
        <row r="177">
          <cell r="A177" t="e">
            <v>#N/A</v>
          </cell>
        </row>
        <row r="178">
          <cell r="A178" t="e">
            <v>#N/A</v>
          </cell>
        </row>
        <row r="179">
          <cell r="A179" t="e">
            <v>#N/A</v>
          </cell>
        </row>
        <row r="180">
          <cell r="A180" t="e">
            <v>#N/A</v>
          </cell>
        </row>
        <row r="181">
          <cell r="A181" t="e">
            <v>#N/A</v>
          </cell>
        </row>
        <row r="182">
          <cell r="A182" t="e">
            <v>#N/A</v>
          </cell>
        </row>
        <row r="183">
          <cell r="A183" t="e">
            <v>#N/A</v>
          </cell>
        </row>
        <row r="184">
          <cell r="A184" t="e">
            <v>#N/A</v>
          </cell>
        </row>
        <row r="185">
          <cell r="A185" t="e">
            <v>#N/A</v>
          </cell>
        </row>
        <row r="186">
          <cell r="A186" t="e">
            <v>#N/A</v>
          </cell>
        </row>
        <row r="187">
          <cell r="A187" t="e">
            <v>#N/A</v>
          </cell>
        </row>
        <row r="188">
          <cell r="A188" t="e">
            <v>#N/A</v>
          </cell>
        </row>
        <row r="189">
          <cell r="A189" t="e">
            <v>#N/A</v>
          </cell>
        </row>
        <row r="190">
          <cell r="A190" t="e">
            <v>#N/A</v>
          </cell>
        </row>
        <row r="191">
          <cell r="A191" t="e">
            <v>#N/A</v>
          </cell>
        </row>
        <row r="192">
          <cell r="A192" t="e">
            <v>#N/A</v>
          </cell>
        </row>
        <row r="193">
          <cell r="A193" t="e">
            <v>#N/A</v>
          </cell>
        </row>
        <row r="194">
          <cell r="A194" t="e">
            <v>#N/A</v>
          </cell>
        </row>
        <row r="195">
          <cell r="A195" t="e">
            <v>#N/A</v>
          </cell>
        </row>
        <row r="196">
          <cell r="A196" t="e">
            <v>#N/A</v>
          </cell>
        </row>
        <row r="197">
          <cell r="A197" t="e">
            <v>#N/A</v>
          </cell>
        </row>
        <row r="198">
          <cell r="A198" t="e">
            <v>#N/A</v>
          </cell>
        </row>
        <row r="199">
          <cell r="A199" t="e">
            <v>#N/A</v>
          </cell>
        </row>
        <row r="200">
          <cell r="A200" t="e">
            <v>#N/A</v>
          </cell>
        </row>
        <row r="201">
          <cell r="A201" t="e">
            <v>#N/A</v>
          </cell>
        </row>
        <row r="202">
          <cell r="A202" t="e">
            <v>#N/A</v>
          </cell>
        </row>
        <row r="203">
          <cell r="A203" t="e">
            <v>#N/A</v>
          </cell>
        </row>
        <row r="204">
          <cell r="A204" t="e">
            <v>#N/A</v>
          </cell>
        </row>
        <row r="205">
          <cell r="A205" t="e">
            <v>#N/A</v>
          </cell>
        </row>
        <row r="206">
          <cell r="A206" t="e">
            <v>#N/A</v>
          </cell>
        </row>
        <row r="207">
          <cell r="A207" t="e">
            <v>#N/A</v>
          </cell>
        </row>
        <row r="208">
          <cell r="A208" t="e">
            <v>#N/A</v>
          </cell>
        </row>
        <row r="209">
          <cell r="A209" t="e">
            <v>#N/A</v>
          </cell>
        </row>
        <row r="210">
          <cell r="A210" t="e">
            <v>#N/A</v>
          </cell>
        </row>
        <row r="211">
          <cell r="A211" t="e">
            <v>#N/A</v>
          </cell>
        </row>
        <row r="212">
          <cell r="A212" t="e">
            <v>#N/A</v>
          </cell>
        </row>
        <row r="213">
          <cell r="A213" t="e">
            <v>#N/A</v>
          </cell>
        </row>
        <row r="214">
          <cell r="A214" t="e">
            <v>#N/A</v>
          </cell>
        </row>
        <row r="215">
          <cell r="A215" t="e">
            <v>#N/A</v>
          </cell>
        </row>
        <row r="216">
          <cell r="A216" t="e">
            <v>#N/A</v>
          </cell>
        </row>
        <row r="217">
          <cell r="A217" t="e">
            <v>#N/A</v>
          </cell>
        </row>
        <row r="218">
          <cell r="A218" t="e">
            <v>#N/A</v>
          </cell>
        </row>
        <row r="219">
          <cell r="A219" t="e">
            <v>#N/A</v>
          </cell>
        </row>
        <row r="220">
          <cell r="A220" t="e">
            <v>#N/A</v>
          </cell>
        </row>
        <row r="221">
          <cell r="A221" t="e">
            <v>#N/A</v>
          </cell>
        </row>
        <row r="222">
          <cell r="A222" t="e">
            <v>#N/A</v>
          </cell>
        </row>
        <row r="223">
          <cell r="A223" t="e">
            <v>#N/A</v>
          </cell>
        </row>
        <row r="224">
          <cell r="A224" t="e">
            <v>#N/A</v>
          </cell>
        </row>
        <row r="225">
          <cell r="A225" t="e">
            <v>#N/A</v>
          </cell>
        </row>
        <row r="226">
          <cell r="A226" t="e">
            <v>#N/A</v>
          </cell>
        </row>
        <row r="227">
          <cell r="A227" t="e">
            <v>#N/A</v>
          </cell>
        </row>
        <row r="228">
          <cell r="A228" t="e">
            <v>#N/A</v>
          </cell>
        </row>
        <row r="229">
          <cell r="A229" t="e">
            <v>#N/A</v>
          </cell>
        </row>
        <row r="230">
          <cell r="A230" t="e">
            <v>#N/A</v>
          </cell>
        </row>
        <row r="231">
          <cell r="A231" t="e">
            <v>#N/A</v>
          </cell>
        </row>
        <row r="232">
          <cell r="A232" t="e">
            <v>#N/A</v>
          </cell>
        </row>
        <row r="233">
          <cell r="A233" t="e">
            <v>#N/A</v>
          </cell>
        </row>
        <row r="234">
          <cell r="A234" t="e">
            <v>#N/A</v>
          </cell>
        </row>
        <row r="235">
          <cell r="A235" t="e">
            <v>#N/A</v>
          </cell>
        </row>
        <row r="236">
          <cell r="A236" t="e">
            <v>#N/A</v>
          </cell>
        </row>
        <row r="237">
          <cell r="A237" t="e">
            <v>#N/A</v>
          </cell>
        </row>
        <row r="238">
          <cell r="A238" t="e">
            <v>#N/A</v>
          </cell>
        </row>
        <row r="239">
          <cell r="A239" t="e">
            <v>#N/A</v>
          </cell>
        </row>
        <row r="240">
          <cell r="A240" t="e">
            <v>#N/A</v>
          </cell>
        </row>
        <row r="241">
          <cell r="A241" t="e">
            <v>#N/A</v>
          </cell>
        </row>
        <row r="242">
          <cell r="A242" t="e">
            <v>#N/A</v>
          </cell>
        </row>
        <row r="243">
          <cell r="A243" t="e">
            <v>#N/A</v>
          </cell>
        </row>
        <row r="244">
          <cell r="A244" t="e">
            <v>#N/A</v>
          </cell>
        </row>
        <row r="245">
          <cell r="A245" t="e">
            <v>#N/A</v>
          </cell>
        </row>
        <row r="246">
          <cell r="A246" t="e">
            <v>#N/A</v>
          </cell>
        </row>
        <row r="247">
          <cell r="A247" t="e">
            <v>#N/A</v>
          </cell>
        </row>
        <row r="248">
          <cell r="A248" t="e">
            <v>#N/A</v>
          </cell>
        </row>
        <row r="249">
          <cell r="A249" t="e">
            <v>#N/A</v>
          </cell>
        </row>
        <row r="250">
          <cell r="A250" t="e">
            <v>#N/A</v>
          </cell>
        </row>
        <row r="251">
          <cell r="A251" t="e">
            <v>#N/A</v>
          </cell>
        </row>
        <row r="252">
          <cell r="A252" t="e">
            <v>#N/A</v>
          </cell>
        </row>
        <row r="253">
          <cell r="A253" t="e">
            <v>#N/A</v>
          </cell>
        </row>
        <row r="254">
          <cell r="A254" t="e">
            <v>#N/A</v>
          </cell>
        </row>
        <row r="255">
          <cell r="A255" t="e">
            <v>#N/A</v>
          </cell>
        </row>
        <row r="256">
          <cell r="A256" t="e">
            <v>#N/A</v>
          </cell>
        </row>
        <row r="257">
          <cell r="A257" t="e">
            <v>#N/A</v>
          </cell>
        </row>
        <row r="258">
          <cell r="A258" t="e">
            <v>#N/A</v>
          </cell>
        </row>
        <row r="259">
          <cell r="A259" t="e">
            <v>#N/A</v>
          </cell>
        </row>
        <row r="260">
          <cell r="A260" t="e">
            <v>#N/A</v>
          </cell>
        </row>
        <row r="261">
          <cell r="A261" t="e">
            <v>#N/A</v>
          </cell>
        </row>
        <row r="262">
          <cell r="A262" t="e">
            <v>#N/A</v>
          </cell>
        </row>
        <row r="263">
          <cell r="A263" t="e">
            <v>#N/A</v>
          </cell>
        </row>
        <row r="264">
          <cell r="A264" t="e">
            <v>#N/A</v>
          </cell>
        </row>
        <row r="265">
          <cell r="A265" t="e">
            <v>#N/A</v>
          </cell>
        </row>
        <row r="266">
          <cell r="A266" t="e">
            <v>#N/A</v>
          </cell>
        </row>
        <row r="267">
          <cell r="A267" t="e">
            <v>#N/A</v>
          </cell>
        </row>
        <row r="268">
          <cell r="A268" t="e">
            <v>#N/A</v>
          </cell>
        </row>
        <row r="269">
          <cell r="A269" t="e">
            <v>#N/A</v>
          </cell>
        </row>
        <row r="270">
          <cell r="A270" t="e">
            <v>#N/A</v>
          </cell>
        </row>
        <row r="271">
          <cell r="A271" t="e">
            <v>#N/A</v>
          </cell>
        </row>
        <row r="272">
          <cell r="A272" t="e">
            <v>#N/A</v>
          </cell>
        </row>
        <row r="273">
          <cell r="A273" t="e">
            <v>#N/A</v>
          </cell>
        </row>
        <row r="274">
          <cell r="A274" t="e">
            <v>#N/A</v>
          </cell>
        </row>
        <row r="275">
          <cell r="A275" t="e">
            <v>#N/A</v>
          </cell>
        </row>
        <row r="276">
          <cell r="A276" t="e">
            <v>#N/A</v>
          </cell>
        </row>
        <row r="277">
          <cell r="A277" t="e">
            <v>#N/A</v>
          </cell>
        </row>
        <row r="278">
          <cell r="A278" t="e">
            <v>#N/A</v>
          </cell>
        </row>
        <row r="279">
          <cell r="A279" t="e">
            <v>#N/A</v>
          </cell>
        </row>
        <row r="280">
          <cell r="A280" t="e">
            <v>#N/A</v>
          </cell>
        </row>
        <row r="281">
          <cell r="A281" t="e">
            <v>#N/A</v>
          </cell>
        </row>
        <row r="282">
          <cell r="A282" t="e">
            <v>#N/A</v>
          </cell>
        </row>
        <row r="283">
          <cell r="A283" t="e">
            <v>#N/A</v>
          </cell>
        </row>
        <row r="284">
          <cell r="A284" t="e">
            <v>#N/A</v>
          </cell>
        </row>
        <row r="285">
          <cell r="A285" t="e">
            <v>#N/A</v>
          </cell>
        </row>
        <row r="286">
          <cell r="A286" t="e">
            <v>#N/A</v>
          </cell>
        </row>
        <row r="287">
          <cell r="A287" t="e">
            <v>#N/A</v>
          </cell>
        </row>
        <row r="288">
          <cell r="A288" t="e">
            <v>#N/A</v>
          </cell>
        </row>
        <row r="289">
          <cell r="A289" t="e">
            <v>#N/A</v>
          </cell>
        </row>
        <row r="290">
          <cell r="A290" t="e">
            <v>#N/A</v>
          </cell>
        </row>
        <row r="291">
          <cell r="A291" t="e">
            <v>#N/A</v>
          </cell>
        </row>
        <row r="292">
          <cell r="A292" t="e">
            <v>#N/A</v>
          </cell>
        </row>
        <row r="293">
          <cell r="A293" t="e">
            <v>#N/A</v>
          </cell>
        </row>
        <row r="294">
          <cell r="A294" t="e">
            <v>#N/A</v>
          </cell>
        </row>
        <row r="295">
          <cell r="A295" t="e">
            <v>#N/A</v>
          </cell>
        </row>
        <row r="296">
          <cell r="A296" t="e">
            <v>#N/A</v>
          </cell>
        </row>
        <row r="297">
          <cell r="A297" t="e">
            <v>#N/A</v>
          </cell>
        </row>
        <row r="298">
          <cell r="A298" t="e">
            <v>#N/A</v>
          </cell>
        </row>
        <row r="299">
          <cell r="A299" t="e">
            <v>#N/A</v>
          </cell>
        </row>
        <row r="300">
          <cell r="A300" t="e">
            <v>#N/A</v>
          </cell>
        </row>
        <row r="301">
          <cell r="A301" t="e">
            <v>#N/A</v>
          </cell>
        </row>
        <row r="302">
          <cell r="A302" t="e">
            <v>#N/A</v>
          </cell>
        </row>
        <row r="303">
          <cell r="A303" t="e">
            <v>#N/A</v>
          </cell>
        </row>
        <row r="304">
          <cell r="A304" t="e">
            <v>#N/A</v>
          </cell>
        </row>
        <row r="305">
          <cell r="A305" t="e">
            <v>#N/A</v>
          </cell>
        </row>
        <row r="306">
          <cell r="A306" t="e">
            <v>#N/A</v>
          </cell>
        </row>
        <row r="307">
          <cell r="A307" t="e">
            <v>#N/A</v>
          </cell>
        </row>
        <row r="308">
          <cell r="A308" t="e">
            <v>#N/A</v>
          </cell>
        </row>
        <row r="309">
          <cell r="A309" t="e">
            <v>#N/A</v>
          </cell>
        </row>
        <row r="310">
          <cell r="A310" t="e">
            <v>#N/A</v>
          </cell>
        </row>
        <row r="311">
          <cell r="A311" t="e">
            <v>#N/A</v>
          </cell>
        </row>
        <row r="312">
          <cell r="A312" t="e">
            <v>#N/A</v>
          </cell>
        </row>
        <row r="313">
          <cell r="A313" t="e">
            <v>#N/A</v>
          </cell>
        </row>
        <row r="314">
          <cell r="A314" t="e">
            <v>#N/A</v>
          </cell>
        </row>
        <row r="315">
          <cell r="A315" t="e">
            <v>#N/A</v>
          </cell>
        </row>
        <row r="316">
          <cell r="A316" t="e">
            <v>#N/A</v>
          </cell>
        </row>
        <row r="317">
          <cell r="A317" t="e">
            <v>#N/A</v>
          </cell>
        </row>
        <row r="318">
          <cell r="A318" t="e">
            <v>#N/A</v>
          </cell>
        </row>
        <row r="319">
          <cell r="A319" t="e">
            <v>#N/A</v>
          </cell>
        </row>
        <row r="320">
          <cell r="A320" t="e">
            <v>#N/A</v>
          </cell>
        </row>
        <row r="321">
          <cell r="A321" t="e">
            <v>#N/A</v>
          </cell>
        </row>
      </sheetData>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PAG1 RESUMEN AÑO global"/>
      <sheetName val="PAG2 evolucion 2006 2008"/>
      <sheetName val="PAG3 EVOL 2006 2008  pot tipo"/>
      <sheetName val="PAG 4 EBITDA 2007 2008 "/>
      <sheetName val="PAG 5  evol fact mes"/>
      <sheetName val="PAG 6 GRAFICA"/>
      <sheetName val="EVOL 2006 2008  pot tipo"/>
      <sheetName val=" Detalle centros por tipo"/>
      <sheetName val="Evol. 2006 2008 por t (2)"/>
      <sheetName val="RESUMEN AÑO (2)"/>
      <sheetName val="RESUMEN AÑO por aperturas"/>
      <sheetName val="RESUMEN AÑO"/>
      <sheetName val="clasif_centros"/>
      <sheetName val="GASTOS EXPLOTACION"/>
      <sheetName val="ACUMULADO AÑO desviaciones ppto"/>
      <sheetName val="aljaraque"/>
      <sheetName val="andujar"/>
      <sheetName val="aravaca"/>
      <sheetName val="aravaca_centro"/>
      <sheetName val="banus"/>
      <sheetName val="benalmadena"/>
      <sheetName val="cañada"/>
      <sheetName val="collado"/>
      <sheetName val="cordoba"/>
      <sheetName val="cordoba_centro"/>
      <sheetName val="escorial"/>
      <sheetName val="esvida"/>
      <sheetName val="guadarrama"/>
      <sheetName val="leon"/>
      <sheetName val="limonar"/>
      <sheetName val="logroño"/>
      <sheetName val="loreto"/>
      <sheetName val="lugo"/>
      <sheetName val="marbella"/>
      <sheetName val="ribera_leon"/>
      <sheetName val="rozas"/>
      <sheetName val="valladolid"/>
      <sheetName val="central_21"/>
      <sheetName val="central_sur"/>
      <sheetName val="central_crss"/>
      <sheetName val="central_promar"/>
      <sheetName val="central_alzambra"/>
      <sheetName val="BALANCEgtos central21"/>
      <sheetName val="Hoja1"/>
      <sheetName val="RESUMEN pyg centros abiert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5">
          <cell r="B5" t="str">
            <v>SERVICIO DE ADMON. Y DIVERSOS</v>
          </cell>
        </row>
        <row r="6">
          <cell r="B6" t="str">
            <v>SERVICIO DE ADMON. Y DIVERSOS</v>
          </cell>
        </row>
        <row r="7">
          <cell r="B7" t="str">
            <v>SERVICIO DE ADMON. Y DIVERSOS</v>
          </cell>
        </row>
        <row r="8">
          <cell r="B8" t="str">
            <v>MANTENIMIENTO Y JARDINERIA</v>
          </cell>
        </row>
        <row r="9">
          <cell r="B9" t="str">
            <v>MANTENIMIENTO Y JARDINERIA</v>
          </cell>
        </row>
        <row r="10">
          <cell r="B10" t="str">
            <v>MANTENIMIENTO Y JARDINERIA</v>
          </cell>
        </row>
        <row r="11">
          <cell r="B11" t="str">
            <v>MANTENIMIENTO Y JARDINERIA</v>
          </cell>
        </row>
        <row r="12">
          <cell r="B12" t="str">
            <v>MANTENIMIENTO Y JARDINERIA</v>
          </cell>
        </row>
        <row r="13">
          <cell r="B13" t="str">
            <v>MANTENIMIENTO Y JARDINERIA</v>
          </cell>
        </row>
        <row r="14">
          <cell r="B14" t="str">
            <v>MANTENIMIENTO Y JARDINERIA</v>
          </cell>
        </row>
        <row r="15">
          <cell r="B15" t="str">
            <v>MANTENIMIENTO Y JARDINERIA</v>
          </cell>
        </row>
        <row r="16">
          <cell r="B16" t="str">
            <v>SERVICIO DE ADMON. Y DIVERSOS</v>
          </cell>
        </row>
        <row r="17">
          <cell r="B17" t="str">
            <v>SEGURIDAD</v>
          </cell>
        </row>
        <row r="18">
          <cell r="B18" t="str">
            <v>SERVICIO COCINA</v>
          </cell>
        </row>
        <row r="19">
          <cell r="B19" t="str">
            <v>SERVICIO DE ADMON. Y DIVERSOS</v>
          </cell>
        </row>
        <row r="20">
          <cell r="B20" t="str">
            <v>SERVICIO DE ADMON. Y DIVERSOS</v>
          </cell>
        </row>
        <row r="21">
          <cell r="B21" t="str">
            <v>SERVICIO DE ADMON. Y DIVERSOS</v>
          </cell>
        </row>
        <row r="22">
          <cell r="B22" t="str">
            <v>SERVICIO DE ADMON. Y DIVERSOS</v>
          </cell>
        </row>
        <row r="23">
          <cell r="B23" t="str">
            <v>SERVICIO DE ADMON. Y DIVERSOS</v>
          </cell>
        </row>
        <row r="24">
          <cell r="B24" t="str">
            <v>PRIMAS DE SEGUROS</v>
          </cell>
        </row>
        <row r="25">
          <cell r="B25" t="str">
            <v>SERVICIO DE ADMON. Y DIVERSOS</v>
          </cell>
        </row>
        <row r="26">
          <cell r="B26" t="str">
            <v>PUBLICIDAD Y PROPAGANDA</v>
          </cell>
        </row>
        <row r="27">
          <cell r="B27" t="str">
            <v>PUBLICIDAD Y PROPAGANDA</v>
          </cell>
        </row>
        <row r="28">
          <cell r="B28" t="str">
            <v>PUBLICIDAD Y PROPAGANDA</v>
          </cell>
        </row>
        <row r="29">
          <cell r="B29" t="str">
            <v>PUBLICIDAD Y PROPAGANDA</v>
          </cell>
        </row>
        <row r="30">
          <cell r="B30" t="str">
            <v>PUBLICIDAD Y PROPAGANDA</v>
          </cell>
        </row>
        <row r="31">
          <cell r="B31" t="str">
            <v>PUBLICIDAD Y PROPAGANDA</v>
          </cell>
        </row>
        <row r="32">
          <cell r="B32" t="str">
            <v>PUBLICIDAD Y PROPAGANDA</v>
          </cell>
        </row>
        <row r="33">
          <cell r="B33" t="str">
            <v>PUBLICIDAD Y PROPAGANDA</v>
          </cell>
        </row>
        <row r="34">
          <cell r="B34" t="str">
            <v>PUBLICIDAD Y PROPAGANDA</v>
          </cell>
        </row>
        <row r="35">
          <cell r="B35" t="str">
            <v>PUBLICIDAD Y PROPAGANDA</v>
          </cell>
        </row>
        <row r="36">
          <cell r="B36" t="str">
            <v>PUBLICIDAD Y PROPAGANDA</v>
          </cell>
        </row>
        <row r="37">
          <cell r="B37" t="str">
            <v>PUBLICIDAD Y PROPAGANDA</v>
          </cell>
        </row>
        <row r="38">
          <cell r="B38" t="str">
            <v>PUBLICIDAD Y PROPAGANDA</v>
          </cell>
        </row>
        <row r="39">
          <cell r="B39" t="str">
            <v>SUMINISTROS</v>
          </cell>
        </row>
        <row r="40">
          <cell r="B40" t="str">
            <v>SERVICIO DE ADMON. Y DIVERSOS</v>
          </cell>
        </row>
        <row r="41">
          <cell r="B41" t="str">
            <v>SERVICIO DE ADMON. Y DIVERSOS</v>
          </cell>
        </row>
        <row r="42">
          <cell r="B42" t="str">
            <v>SERVICIO DE ADMON. Y DIVERSOS</v>
          </cell>
        </row>
        <row r="43">
          <cell r="B43" t="str">
            <v>SERVICIO DE ADMON. Y DIVERSOS</v>
          </cell>
        </row>
        <row r="44">
          <cell r="B44" t="str">
            <v>SERVICIO DE ADMON. Y DIVERSOS</v>
          </cell>
        </row>
        <row r="45">
          <cell r="B45" t="str">
            <v>SERVICIO DE ADMON. Y DIVERSOS</v>
          </cell>
        </row>
        <row r="46">
          <cell r="B46" t="str">
            <v>SERVICIO DE ADMON. Y DIVERSOS</v>
          </cell>
        </row>
        <row r="47">
          <cell r="B47" t="str">
            <v>SERVICIO DE ADMON. Y DIVERSOS</v>
          </cell>
        </row>
        <row r="48">
          <cell r="B48" t="str">
            <v>SERVICIO DE ADMON. Y DIVERSOS</v>
          </cell>
        </row>
        <row r="49">
          <cell r="B49" t="str">
            <v>SERVICIO DE ADMON. Y DIVERSOS</v>
          </cell>
        </row>
        <row r="50">
          <cell r="B50" t="str">
            <v>SERVICIO DE ADMON. Y DIVERSOS</v>
          </cell>
        </row>
        <row r="51">
          <cell r="B51" t="str">
            <v>SERVICIO DE ADMON. Y DIVERSOS</v>
          </cell>
        </row>
        <row r="52">
          <cell r="B52" t="str">
            <v>SERVICIO DE ADMON. Y DIVERSOS</v>
          </cell>
        </row>
        <row r="53">
          <cell r="B53" t="str">
            <v>SERVICIO DE ADMON. Y DIVERSOS</v>
          </cell>
        </row>
        <row r="54">
          <cell r="B54" t="str">
            <v>SERVICIO DE ADMON. Y DIVERSOS</v>
          </cell>
        </row>
        <row r="55">
          <cell r="B55" t="str">
            <v>ASISTENCIA MEDICA</v>
          </cell>
        </row>
        <row r="56">
          <cell r="B56" t="str">
            <v>SERVICIO DE ADMON. Y DIVERSOS</v>
          </cell>
        </row>
        <row r="57">
          <cell r="B57" t="str">
            <v>SERVICIO DE ADMON. Y DIVERSOS</v>
          </cell>
        </row>
        <row r="58">
          <cell r="B58" t="str">
            <v>SERVICIO DE ADMON. Y DIVERSOS</v>
          </cell>
        </row>
        <row r="59">
          <cell r="B59" t="str">
            <v>SERVICIO DE ADMON. Y DIVERSOS</v>
          </cell>
        </row>
        <row r="60">
          <cell r="B60" t="str">
            <v>SERVICIO DE ADMON. Y DIVERSOS</v>
          </cell>
        </row>
        <row r="61">
          <cell r="B61" t="str">
            <v>SERVICIO DE ADMON. Y DIVERSOS</v>
          </cell>
        </row>
        <row r="62">
          <cell r="B62" t="str">
            <v>SERVICIO DE ADMON. Y DIVERSOS</v>
          </cell>
        </row>
        <row r="63">
          <cell r="B63" t="str">
            <v>SERVICIO DE ADMON. Y DIVERSOS</v>
          </cell>
        </row>
        <row r="64">
          <cell r="B64" t="str">
            <v>SERVICIO DE ADMON. Y DIVERSOS</v>
          </cell>
        </row>
        <row r="65">
          <cell r="B65" t="str">
            <v>SERVICIO DE ADMON. Y DIVERSOS</v>
          </cell>
        </row>
        <row r="66">
          <cell r="B66" t="str">
            <v>SERVICIO DE ADMON. Y DIVERSOS</v>
          </cell>
        </row>
        <row r="67">
          <cell r="B67" t="str">
            <v>SERVICIO DE ADMON. Y DIVERSOS</v>
          </cell>
        </row>
        <row r="68">
          <cell r="B68" t="str">
            <v>GASTOS EXTRAORDINARIOS</v>
          </cell>
        </row>
        <row r="69">
          <cell r="B69" t="str">
            <v>TRIBUTOS</v>
          </cell>
        </row>
        <row r="70">
          <cell r="B70" t="str">
            <v>TRIBUTOS</v>
          </cell>
        </row>
        <row r="71">
          <cell r="B71" t="str">
            <v>TRIBUTOS</v>
          </cell>
        </row>
        <row r="72">
          <cell r="B72" t="str">
            <v>TRIBUTOS</v>
          </cell>
        </row>
        <row r="73">
          <cell r="B73">
            <v>0</v>
          </cell>
        </row>
        <row r="74">
          <cell r="B74" t="str">
            <v>INDEMNIZACIONES</v>
          </cell>
        </row>
        <row r="75">
          <cell r="B75">
            <v>0</v>
          </cell>
        </row>
        <row r="76">
          <cell r="B76" t="str">
            <v>ATENCION DIRECTA</v>
          </cell>
        </row>
        <row r="77">
          <cell r="B77" t="str">
            <v>PSICOLOGIA</v>
          </cell>
        </row>
        <row r="78">
          <cell r="B78" t="str">
            <v>UNIFORMES Y OTROS GASTOS SOCIALES</v>
          </cell>
        </row>
        <row r="79">
          <cell r="B79" t="str">
            <v>UNIFORMES Y OTROS GASTOS SOCIALES</v>
          </cell>
        </row>
        <row r="80">
          <cell r="B80" t="str">
            <v>UNIFORMES Y OTROS GASTOS SOCIALES</v>
          </cell>
        </row>
        <row r="81">
          <cell r="B81" t="str">
            <v>UNIFORMES Y OTROS GASTOS SOCIALES</v>
          </cell>
        </row>
        <row r="82">
          <cell r="B82" t="str">
            <v>UNIFORMES Y OTROS GASTOS SOCIALES</v>
          </cell>
        </row>
        <row r="83">
          <cell r="B83" t="str">
            <v>GASTOS FINANCIEROS</v>
          </cell>
        </row>
        <row r="84">
          <cell r="B84" t="str">
            <v>GASTOS FINANCIEROS</v>
          </cell>
        </row>
        <row r="85">
          <cell r="B85" t="str">
            <v>GASTOS FINANCIEROS</v>
          </cell>
        </row>
        <row r="86">
          <cell r="B86" t="str">
            <v>GASTOS FINANCIEROS</v>
          </cell>
        </row>
        <row r="87">
          <cell r="B87" t="str">
            <v>GASTOS FINANCIEROS</v>
          </cell>
        </row>
        <row r="88">
          <cell r="B88" t="str">
            <v>GASTOS FINANCIEROS</v>
          </cell>
        </row>
        <row r="89">
          <cell r="B89" t="str">
            <v>GASTOS FINANCIEROS</v>
          </cell>
        </row>
        <row r="90">
          <cell r="B90" t="str">
            <v>GASTOS FINANCIEROS</v>
          </cell>
        </row>
        <row r="91">
          <cell r="B91" t="str">
            <v>AMORTIZACIÓN</v>
          </cell>
        </row>
        <row r="92">
          <cell r="B92" t="str">
            <v>AMORTIZACIÓN</v>
          </cell>
        </row>
        <row r="93">
          <cell r="B93" t="str">
            <v>AMORTIZACIÓN</v>
          </cell>
        </row>
        <row r="94">
          <cell r="B94" t="str">
            <v>AMORTIZACIÓN</v>
          </cell>
        </row>
        <row r="95">
          <cell r="B95" t="str">
            <v>AMORTIZACIÓN</v>
          </cell>
        </row>
        <row r="96">
          <cell r="B96" t="str">
            <v>AMORTIZACIÓN</v>
          </cell>
        </row>
        <row r="97">
          <cell r="B97" t="str">
            <v>AMORTIZACIÓN</v>
          </cell>
        </row>
        <row r="98">
          <cell r="B98" t="str">
            <v>AMORTIZACIÓN</v>
          </cell>
        </row>
        <row r="99">
          <cell r="B99" t="str">
            <v>AMORTIZACIÓN</v>
          </cell>
        </row>
        <row r="100">
          <cell r="B100" t="str">
            <v>AMORTIZACIÓN</v>
          </cell>
        </row>
        <row r="101">
          <cell r="B101" t="e">
            <v>#N/A</v>
          </cell>
        </row>
        <row r="102">
          <cell r="B102" t="e">
            <v>#N/A</v>
          </cell>
        </row>
        <row r="103">
          <cell r="B103" t="e">
            <v>#N/A</v>
          </cell>
        </row>
        <row r="104">
          <cell r="B104" t="e">
            <v>#N/A</v>
          </cell>
        </row>
        <row r="105">
          <cell r="B105" t="e">
            <v>#N/A</v>
          </cell>
        </row>
        <row r="106">
          <cell r="B106" t="e">
            <v>#N/A</v>
          </cell>
        </row>
        <row r="107">
          <cell r="B107" t="e">
            <v>#N/A</v>
          </cell>
        </row>
        <row r="108">
          <cell r="B108" t="e">
            <v>#N/A</v>
          </cell>
        </row>
        <row r="109">
          <cell r="B109" t="e">
            <v>#N/A</v>
          </cell>
        </row>
        <row r="110">
          <cell r="B110" t="e">
            <v>#N/A</v>
          </cell>
        </row>
        <row r="111">
          <cell r="B111" t="e">
            <v>#N/A</v>
          </cell>
        </row>
        <row r="112">
          <cell r="B112" t="e">
            <v>#N/A</v>
          </cell>
        </row>
        <row r="113">
          <cell r="B113" t="e">
            <v>#N/A</v>
          </cell>
        </row>
        <row r="114">
          <cell r="B114" t="e">
            <v>#N/A</v>
          </cell>
        </row>
        <row r="115">
          <cell r="B115" t="e">
            <v>#N/A</v>
          </cell>
        </row>
        <row r="116">
          <cell r="B116" t="e">
            <v>#N/A</v>
          </cell>
        </row>
        <row r="117">
          <cell r="B117" t="e">
            <v>#N/A</v>
          </cell>
        </row>
        <row r="118">
          <cell r="B118" t="e">
            <v>#N/A</v>
          </cell>
        </row>
        <row r="119">
          <cell r="B119" t="e">
            <v>#N/A</v>
          </cell>
        </row>
        <row r="120">
          <cell r="B120" t="e">
            <v>#N/A</v>
          </cell>
        </row>
        <row r="121">
          <cell r="B121" t="e">
            <v>#N/A</v>
          </cell>
        </row>
        <row r="122">
          <cell r="B122" t="e">
            <v>#N/A</v>
          </cell>
        </row>
        <row r="123">
          <cell r="B123" t="e">
            <v>#N/A</v>
          </cell>
        </row>
        <row r="124">
          <cell r="B124" t="e">
            <v>#N/A</v>
          </cell>
        </row>
        <row r="125">
          <cell r="B125" t="e">
            <v>#N/A</v>
          </cell>
        </row>
        <row r="126">
          <cell r="B126" t="e">
            <v>#N/A</v>
          </cell>
        </row>
        <row r="127">
          <cell r="B127" t="e">
            <v>#N/A</v>
          </cell>
        </row>
        <row r="128">
          <cell r="B128" t="e">
            <v>#N/A</v>
          </cell>
        </row>
        <row r="129">
          <cell r="B129" t="e">
            <v>#N/A</v>
          </cell>
        </row>
        <row r="130">
          <cell r="B130" t="e">
            <v>#N/A</v>
          </cell>
        </row>
        <row r="131">
          <cell r="B131" t="e">
            <v>#N/A</v>
          </cell>
        </row>
        <row r="132">
          <cell r="B132" t="e">
            <v>#N/A</v>
          </cell>
        </row>
        <row r="133">
          <cell r="B133" t="e">
            <v>#N/A</v>
          </cell>
        </row>
        <row r="134">
          <cell r="B134" t="e">
            <v>#N/A</v>
          </cell>
        </row>
        <row r="135">
          <cell r="B135" t="e">
            <v>#N/A</v>
          </cell>
        </row>
        <row r="136">
          <cell r="B136" t="e">
            <v>#N/A</v>
          </cell>
        </row>
        <row r="137">
          <cell r="B137" t="e">
            <v>#N/A</v>
          </cell>
        </row>
        <row r="138">
          <cell r="B138" t="e">
            <v>#N/A</v>
          </cell>
        </row>
        <row r="139">
          <cell r="B139" t="e">
            <v>#N/A</v>
          </cell>
        </row>
        <row r="140">
          <cell r="B140" t="e">
            <v>#N/A</v>
          </cell>
        </row>
        <row r="141">
          <cell r="B141" t="e">
            <v>#N/A</v>
          </cell>
        </row>
        <row r="142">
          <cell r="B142" t="e">
            <v>#N/A</v>
          </cell>
        </row>
        <row r="143">
          <cell r="B143" t="e">
            <v>#N/A</v>
          </cell>
        </row>
        <row r="144">
          <cell r="B144" t="e">
            <v>#N/A</v>
          </cell>
        </row>
        <row r="145">
          <cell r="B145" t="e">
            <v>#N/A</v>
          </cell>
        </row>
        <row r="146">
          <cell r="B146" t="e">
            <v>#N/A</v>
          </cell>
        </row>
        <row r="147">
          <cell r="B147" t="e">
            <v>#N/A</v>
          </cell>
        </row>
        <row r="148">
          <cell r="B148" t="e">
            <v>#N/A</v>
          </cell>
        </row>
        <row r="149">
          <cell r="B149" t="e">
            <v>#N/A</v>
          </cell>
        </row>
        <row r="150">
          <cell r="B150" t="e">
            <v>#N/A</v>
          </cell>
        </row>
        <row r="151">
          <cell r="B151" t="e">
            <v>#N/A</v>
          </cell>
        </row>
        <row r="152">
          <cell r="B152" t="e">
            <v>#N/A</v>
          </cell>
        </row>
        <row r="153">
          <cell r="B153" t="e">
            <v>#N/A</v>
          </cell>
        </row>
        <row r="154">
          <cell r="B154" t="e">
            <v>#N/A</v>
          </cell>
        </row>
        <row r="155">
          <cell r="B155" t="e">
            <v>#N/A</v>
          </cell>
        </row>
        <row r="156">
          <cell r="B156" t="e">
            <v>#N/A</v>
          </cell>
        </row>
        <row r="157">
          <cell r="B157" t="e">
            <v>#N/A</v>
          </cell>
        </row>
        <row r="158">
          <cell r="B158" t="e">
            <v>#N/A</v>
          </cell>
        </row>
        <row r="159">
          <cell r="B159" t="e">
            <v>#N/A</v>
          </cell>
        </row>
        <row r="160">
          <cell r="B160" t="e">
            <v>#N/A</v>
          </cell>
        </row>
        <row r="161">
          <cell r="B161" t="e">
            <v>#N/A</v>
          </cell>
        </row>
        <row r="162">
          <cell r="B162" t="e">
            <v>#N/A</v>
          </cell>
        </row>
        <row r="163">
          <cell r="B163" t="e">
            <v>#N/A</v>
          </cell>
        </row>
        <row r="164">
          <cell r="B164" t="e">
            <v>#N/A</v>
          </cell>
        </row>
        <row r="165">
          <cell r="B165" t="e">
            <v>#N/A</v>
          </cell>
        </row>
        <row r="166">
          <cell r="B166" t="e">
            <v>#N/A</v>
          </cell>
        </row>
        <row r="167">
          <cell r="B167" t="e">
            <v>#N/A</v>
          </cell>
        </row>
        <row r="168">
          <cell r="B168" t="e">
            <v>#N/A</v>
          </cell>
        </row>
        <row r="169">
          <cell r="B169" t="e">
            <v>#N/A</v>
          </cell>
        </row>
        <row r="170">
          <cell r="B170" t="e">
            <v>#N/A</v>
          </cell>
        </row>
        <row r="171">
          <cell r="B171" t="e">
            <v>#N/A</v>
          </cell>
        </row>
        <row r="172">
          <cell r="B172" t="e">
            <v>#N/A</v>
          </cell>
        </row>
        <row r="173">
          <cell r="B173" t="e">
            <v>#N/A</v>
          </cell>
        </row>
        <row r="174">
          <cell r="B174" t="e">
            <v>#N/A</v>
          </cell>
        </row>
        <row r="175">
          <cell r="B175" t="e">
            <v>#N/A</v>
          </cell>
        </row>
        <row r="176">
          <cell r="B176" t="e">
            <v>#N/A</v>
          </cell>
        </row>
        <row r="177">
          <cell r="B177" t="e">
            <v>#N/A</v>
          </cell>
        </row>
        <row r="178">
          <cell r="B178" t="e">
            <v>#N/A</v>
          </cell>
        </row>
        <row r="179">
          <cell r="B179" t="e">
            <v>#N/A</v>
          </cell>
        </row>
        <row r="180">
          <cell r="B180" t="e">
            <v>#N/A</v>
          </cell>
        </row>
        <row r="181">
          <cell r="B181" t="e">
            <v>#N/A</v>
          </cell>
        </row>
        <row r="182">
          <cell r="B182" t="e">
            <v>#N/A</v>
          </cell>
        </row>
        <row r="183">
          <cell r="B183" t="e">
            <v>#N/A</v>
          </cell>
        </row>
        <row r="184">
          <cell r="B184" t="e">
            <v>#N/A</v>
          </cell>
        </row>
        <row r="185">
          <cell r="B185" t="e">
            <v>#N/A</v>
          </cell>
        </row>
        <row r="186">
          <cell r="B186" t="e">
            <v>#N/A</v>
          </cell>
        </row>
        <row r="187">
          <cell r="B187" t="e">
            <v>#N/A</v>
          </cell>
        </row>
        <row r="188">
          <cell r="B188" t="e">
            <v>#N/A</v>
          </cell>
        </row>
        <row r="189">
          <cell r="B189" t="e">
            <v>#N/A</v>
          </cell>
        </row>
        <row r="190">
          <cell r="B190" t="e">
            <v>#N/A</v>
          </cell>
        </row>
        <row r="191">
          <cell r="B191" t="e">
            <v>#N/A</v>
          </cell>
        </row>
        <row r="192">
          <cell r="B192" t="e">
            <v>#N/A</v>
          </cell>
        </row>
        <row r="193">
          <cell r="B193" t="e">
            <v>#N/A</v>
          </cell>
        </row>
        <row r="194">
          <cell r="B194" t="e">
            <v>#N/A</v>
          </cell>
        </row>
        <row r="195">
          <cell r="B195" t="e">
            <v>#N/A</v>
          </cell>
        </row>
        <row r="196">
          <cell r="B196" t="e">
            <v>#N/A</v>
          </cell>
        </row>
        <row r="197">
          <cell r="B197" t="e">
            <v>#N/A</v>
          </cell>
        </row>
        <row r="198">
          <cell r="B198" t="e">
            <v>#N/A</v>
          </cell>
        </row>
        <row r="199">
          <cell r="B199" t="e">
            <v>#N/A</v>
          </cell>
        </row>
        <row r="200">
          <cell r="B200" t="e">
            <v>#N/A</v>
          </cell>
        </row>
        <row r="201">
          <cell r="B201" t="e">
            <v>#N/A</v>
          </cell>
        </row>
        <row r="202">
          <cell r="B202" t="e">
            <v>#N/A</v>
          </cell>
        </row>
        <row r="203">
          <cell r="B203" t="e">
            <v>#N/A</v>
          </cell>
        </row>
        <row r="204">
          <cell r="B204" t="e">
            <v>#N/A</v>
          </cell>
        </row>
        <row r="205">
          <cell r="B205" t="e">
            <v>#N/A</v>
          </cell>
        </row>
        <row r="206">
          <cell r="B206" t="e">
            <v>#N/A</v>
          </cell>
        </row>
        <row r="207">
          <cell r="B207" t="e">
            <v>#N/A</v>
          </cell>
        </row>
        <row r="208">
          <cell r="B208" t="e">
            <v>#N/A</v>
          </cell>
        </row>
        <row r="209">
          <cell r="B209" t="e">
            <v>#N/A</v>
          </cell>
        </row>
        <row r="210">
          <cell r="B210" t="e">
            <v>#N/A</v>
          </cell>
        </row>
        <row r="211">
          <cell r="B211" t="e">
            <v>#N/A</v>
          </cell>
        </row>
        <row r="212">
          <cell r="B212" t="e">
            <v>#N/A</v>
          </cell>
        </row>
        <row r="213">
          <cell r="B213" t="e">
            <v>#N/A</v>
          </cell>
        </row>
        <row r="214">
          <cell r="B214" t="e">
            <v>#N/A</v>
          </cell>
        </row>
        <row r="215">
          <cell r="B215" t="e">
            <v>#N/A</v>
          </cell>
        </row>
        <row r="216">
          <cell r="B216" t="e">
            <v>#N/A</v>
          </cell>
        </row>
        <row r="217">
          <cell r="B217" t="e">
            <v>#N/A</v>
          </cell>
        </row>
        <row r="218">
          <cell r="B218" t="e">
            <v>#N/A</v>
          </cell>
        </row>
        <row r="219">
          <cell r="B219" t="e">
            <v>#N/A</v>
          </cell>
        </row>
        <row r="220">
          <cell r="B220" t="e">
            <v>#N/A</v>
          </cell>
        </row>
        <row r="221">
          <cell r="B221" t="e">
            <v>#N/A</v>
          </cell>
        </row>
        <row r="222">
          <cell r="B222" t="e">
            <v>#N/A</v>
          </cell>
        </row>
        <row r="223">
          <cell r="B223" t="e">
            <v>#N/A</v>
          </cell>
        </row>
        <row r="224">
          <cell r="B224" t="e">
            <v>#N/A</v>
          </cell>
        </row>
        <row r="225">
          <cell r="B225" t="e">
            <v>#N/A</v>
          </cell>
        </row>
        <row r="226">
          <cell r="B226" t="e">
            <v>#N/A</v>
          </cell>
        </row>
        <row r="227">
          <cell r="B227" t="e">
            <v>#N/A</v>
          </cell>
        </row>
        <row r="228">
          <cell r="B228" t="e">
            <v>#N/A</v>
          </cell>
        </row>
        <row r="229">
          <cell r="B229" t="e">
            <v>#N/A</v>
          </cell>
        </row>
        <row r="230">
          <cell r="B230" t="e">
            <v>#N/A</v>
          </cell>
        </row>
        <row r="231">
          <cell r="B231" t="e">
            <v>#N/A</v>
          </cell>
        </row>
        <row r="232">
          <cell r="B232" t="e">
            <v>#N/A</v>
          </cell>
        </row>
        <row r="233">
          <cell r="B233" t="e">
            <v>#N/A</v>
          </cell>
        </row>
        <row r="234">
          <cell r="B234" t="e">
            <v>#N/A</v>
          </cell>
        </row>
        <row r="235">
          <cell r="B235" t="e">
            <v>#N/A</v>
          </cell>
        </row>
        <row r="236">
          <cell r="B236" t="e">
            <v>#N/A</v>
          </cell>
        </row>
        <row r="237">
          <cell r="B237" t="e">
            <v>#N/A</v>
          </cell>
        </row>
        <row r="238">
          <cell r="B238" t="e">
            <v>#N/A</v>
          </cell>
        </row>
        <row r="239">
          <cell r="B239" t="e">
            <v>#N/A</v>
          </cell>
        </row>
        <row r="240">
          <cell r="B240" t="e">
            <v>#N/A</v>
          </cell>
        </row>
        <row r="241">
          <cell r="B241" t="e">
            <v>#N/A</v>
          </cell>
        </row>
        <row r="242">
          <cell r="B242" t="e">
            <v>#N/A</v>
          </cell>
        </row>
        <row r="243">
          <cell r="B243" t="e">
            <v>#N/A</v>
          </cell>
        </row>
        <row r="244">
          <cell r="B244" t="e">
            <v>#N/A</v>
          </cell>
        </row>
        <row r="245">
          <cell r="B245" t="e">
            <v>#N/A</v>
          </cell>
        </row>
        <row r="246">
          <cell r="B246" t="e">
            <v>#N/A</v>
          </cell>
        </row>
        <row r="247">
          <cell r="B247" t="e">
            <v>#N/A</v>
          </cell>
        </row>
        <row r="248">
          <cell r="B248" t="e">
            <v>#N/A</v>
          </cell>
        </row>
        <row r="249">
          <cell r="B249" t="e">
            <v>#N/A</v>
          </cell>
        </row>
        <row r="250">
          <cell r="B250" t="e">
            <v>#N/A</v>
          </cell>
        </row>
        <row r="251">
          <cell r="B251" t="e">
            <v>#N/A</v>
          </cell>
        </row>
        <row r="252">
          <cell r="B252" t="e">
            <v>#N/A</v>
          </cell>
        </row>
        <row r="253">
          <cell r="B253" t="e">
            <v>#N/A</v>
          </cell>
        </row>
        <row r="254">
          <cell r="B254" t="e">
            <v>#N/A</v>
          </cell>
        </row>
        <row r="255">
          <cell r="B255" t="e">
            <v>#N/A</v>
          </cell>
        </row>
        <row r="256">
          <cell r="B256" t="e">
            <v>#N/A</v>
          </cell>
        </row>
        <row r="257">
          <cell r="B257" t="e">
            <v>#N/A</v>
          </cell>
        </row>
        <row r="258">
          <cell r="B258" t="e">
            <v>#N/A</v>
          </cell>
        </row>
        <row r="259">
          <cell r="B259" t="e">
            <v>#N/A</v>
          </cell>
        </row>
        <row r="260">
          <cell r="B260" t="e">
            <v>#N/A</v>
          </cell>
        </row>
        <row r="261">
          <cell r="B261" t="e">
            <v>#N/A</v>
          </cell>
        </row>
        <row r="262">
          <cell r="B262" t="e">
            <v>#N/A</v>
          </cell>
        </row>
        <row r="263">
          <cell r="B263" t="e">
            <v>#N/A</v>
          </cell>
        </row>
        <row r="264">
          <cell r="B264" t="e">
            <v>#N/A</v>
          </cell>
        </row>
        <row r="265">
          <cell r="B265" t="e">
            <v>#N/A</v>
          </cell>
        </row>
        <row r="266">
          <cell r="B266" t="e">
            <v>#N/A</v>
          </cell>
        </row>
        <row r="267">
          <cell r="B267" t="e">
            <v>#N/A</v>
          </cell>
        </row>
        <row r="268">
          <cell r="B268" t="e">
            <v>#N/A</v>
          </cell>
        </row>
        <row r="269">
          <cell r="B269" t="e">
            <v>#N/A</v>
          </cell>
        </row>
        <row r="270">
          <cell r="B270" t="e">
            <v>#N/A</v>
          </cell>
        </row>
        <row r="271">
          <cell r="B271" t="e">
            <v>#N/A</v>
          </cell>
        </row>
        <row r="272">
          <cell r="B272" t="e">
            <v>#N/A</v>
          </cell>
        </row>
        <row r="273">
          <cell r="B273" t="e">
            <v>#N/A</v>
          </cell>
        </row>
        <row r="274">
          <cell r="B274" t="e">
            <v>#N/A</v>
          </cell>
        </row>
        <row r="275">
          <cell r="B275" t="e">
            <v>#N/A</v>
          </cell>
        </row>
        <row r="276">
          <cell r="B276" t="e">
            <v>#N/A</v>
          </cell>
        </row>
        <row r="277">
          <cell r="B277" t="e">
            <v>#N/A</v>
          </cell>
        </row>
        <row r="278">
          <cell r="B278" t="e">
            <v>#N/A</v>
          </cell>
        </row>
        <row r="279">
          <cell r="B279" t="e">
            <v>#N/A</v>
          </cell>
        </row>
        <row r="280">
          <cell r="B280" t="e">
            <v>#N/A</v>
          </cell>
        </row>
        <row r="281">
          <cell r="B281" t="e">
            <v>#N/A</v>
          </cell>
        </row>
        <row r="282">
          <cell r="B282" t="e">
            <v>#N/A</v>
          </cell>
        </row>
        <row r="283">
          <cell r="B283" t="e">
            <v>#N/A</v>
          </cell>
        </row>
        <row r="284">
          <cell r="B284" t="e">
            <v>#N/A</v>
          </cell>
        </row>
        <row r="285">
          <cell r="B285" t="e">
            <v>#N/A</v>
          </cell>
        </row>
        <row r="286">
          <cell r="B286" t="e">
            <v>#N/A</v>
          </cell>
        </row>
        <row r="287">
          <cell r="B287" t="e">
            <v>#N/A</v>
          </cell>
        </row>
        <row r="288">
          <cell r="B288" t="e">
            <v>#N/A</v>
          </cell>
        </row>
        <row r="289">
          <cell r="B289" t="e">
            <v>#N/A</v>
          </cell>
        </row>
        <row r="290">
          <cell r="B290" t="e">
            <v>#N/A</v>
          </cell>
        </row>
        <row r="291">
          <cell r="B291" t="e">
            <v>#N/A</v>
          </cell>
        </row>
        <row r="292">
          <cell r="B292" t="e">
            <v>#N/A</v>
          </cell>
        </row>
        <row r="293">
          <cell r="B293" t="e">
            <v>#N/A</v>
          </cell>
        </row>
        <row r="294">
          <cell r="B294" t="e">
            <v>#N/A</v>
          </cell>
        </row>
        <row r="295">
          <cell r="B295" t="e">
            <v>#N/A</v>
          </cell>
        </row>
        <row r="296">
          <cell r="B296" t="e">
            <v>#N/A</v>
          </cell>
        </row>
        <row r="297">
          <cell r="B297" t="e">
            <v>#N/A</v>
          </cell>
        </row>
        <row r="298">
          <cell r="B298" t="e">
            <v>#N/A</v>
          </cell>
        </row>
        <row r="299">
          <cell r="B299" t="e">
            <v>#N/A</v>
          </cell>
        </row>
        <row r="300">
          <cell r="B300" t="e">
            <v>#N/A</v>
          </cell>
        </row>
        <row r="301">
          <cell r="B301" t="e">
            <v>#N/A</v>
          </cell>
        </row>
        <row r="302">
          <cell r="B302" t="e">
            <v>#N/A</v>
          </cell>
        </row>
        <row r="303">
          <cell r="B303" t="e">
            <v>#N/A</v>
          </cell>
        </row>
      </sheetData>
      <sheetData sheetId="44"/>
      <sheetData sheetId="4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do"/>
      <sheetName val="cordoba"/>
      <sheetName val="guadarrama"/>
      <sheetName val="rozas"/>
      <sheetName val="aravaca"/>
      <sheetName val="aravaca_aptos"/>
      <sheetName val="cañada"/>
      <sheetName val="banus"/>
      <sheetName val="escorial"/>
      <sheetName val="limonar"/>
      <sheetName val="benalmadena"/>
      <sheetName val="marbella"/>
      <sheetName val="collado"/>
      <sheetName val="andujar"/>
      <sheetName val="loreto"/>
      <sheetName val="aljaraque"/>
      <sheetName val="cordoba2"/>
      <sheetName val="banus2"/>
      <sheetName val="cerrado"/>
      <sheetName val="logroño"/>
      <sheetName val="leon_apartamentos"/>
      <sheetName val="leon_residencia"/>
      <sheetName val="valladolid"/>
      <sheetName val="lugo"/>
      <sheetName val="esvida"/>
      <sheetName val="calpe"/>
      <sheetName val="santapola"/>
      <sheetName val="benidorm"/>
      <sheetName val="alicante"/>
      <sheetName val="calpe2"/>
      <sheetName val="central_total"/>
    </sheetNames>
    <sheetDataSet>
      <sheetData sheetId="0" refreshError="1"/>
      <sheetData sheetId="1">
        <row r="51">
          <cell r="E51">
            <v>0.17081208453919652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Summary"/>
      <sheetName val="Assumptions"/>
      <sheetName val="P&amp;L"/>
      <sheetName val="Balance Sheet"/>
      <sheetName val="Cash Flow"/>
      <sheetName val="TIR Sanyres Landon"/>
      <sheetName val="Deuda-Capex"/>
      <sheetName val="TIR Promotora"/>
      <sheetName val="TIR conjunta"/>
      <sheetName val="IRR sensitivities"/>
    </sheetNames>
    <sheetDataSet>
      <sheetData sheetId="0"/>
      <sheetData sheetId="1"/>
      <sheetData sheetId="2" refreshError="1"/>
      <sheetData sheetId="3"/>
      <sheetData sheetId="4" refreshError="1"/>
      <sheetData sheetId="5" refreshError="1"/>
      <sheetData sheetId="6">
        <row r="20">
          <cell r="B20">
            <v>0.15066520671110595</v>
          </cell>
        </row>
      </sheetData>
      <sheetData sheetId="7" refreshError="1"/>
      <sheetData sheetId="8" refreshError="1"/>
      <sheetData sheetId="9">
        <row r="20">
          <cell r="C20">
            <v>0.10242178982573615</v>
          </cell>
        </row>
      </sheetData>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linkedin.com/in/roman-bertran-vi%C3%B1as-ab485a1b/" TargetMode="External"/><Relationship Id="rId21" Type="http://schemas.openxmlformats.org/officeDocument/2006/relationships/hyperlink" Target="mailto:kyung@hpegrowthcapital.com" TargetMode="External"/><Relationship Id="rId42" Type="http://schemas.openxmlformats.org/officeDocument/2006/relationships/hyperlink" Target="https://www.linkedin.com/in/adrianafreitas/" TargetMode="External"/><Relationship Id="rId63" Type="http://schemas.openxmlformats.org/officeDocument/2006/relationships/hyperlink" Target="https://www.linkedin.com/in/avimeir/" TargetMode="External"/><Relationship Id="rId84" Type="http://schemas.openxmlformats.org/officeDocument/2006/relationships/hyperlink" Target="https://www.linkedin.com/in/inesures/" TargetMode="External"/><Relationship Id="rId138" Type="http://schemas.openxmlformats.org/officeDocument/2006/relationships/hyperlink" Target="https://es.linkedin.com/in/vincentrosso" TargetMode="External"/><Relationship Id="rId159" Type="http://schemas.openxmlformats.org/officeDocument/2006/relationships/hyperlink" Target="https://www.linkedin.com/in/martaesteve/" TargetMode="External"/><Relationship Id="rId170" Type="http://schemas.openxmlformats.org/officeDocument/2006/relationships/hyperlink" Target="https://www.linkedin.com/in/marc-ros-78ba235/" TargetMode="External"/><Relationship Id="rId191" Type="http://schemas.openxmlformats.org/officeDocument/2006/relationships/hyperlink" Target="mailto:info@accelgrow.com" TargetMode="External"/><Relationship Id="rId205" Type="http://schemas.openxmlformats.org/officeDocument/2006/relationships/hyperlink" Target="mailto:carlos@blanco.com" TargetMode="External"/><Relationship Id="rId107" Type="http://schemas.openxmlformats.org/officeDocument/2006/relationships/hyperlink" Target="https://es.linkedin.com/in/renedejongspain" TargetMode="External"/><Relationship Id="rId11" Type="http://schemas.openxmlformats.org/officeDocument/2006/relationships/hyperlink" Target="mailto:michel.delempdes@omnescapital.com" TargetMode="External"/><Relationship Id="rId32" Type="http://schemas.openxmlformats.org/officeDocument/2006/relationships/hyperlink" Target="https://www.linkedin.com/search/results/people/keywords=%C3%81lvaro%20Hern%C3%A1ndez%20Portobello" TargetMode="External"/><Relationship Id="rId53" Type="http://schemas.openxmlformats.org/officeDocument/2006/relationships/hyperlink" Target="https://www.linkedin.com/in/alejandro-su%C3%A1rez-sanchez-oca%C3%B1a-62375aa/" TargetMode="External"/><Relationship Id="rId74" Type="http://schemas.openxmlformats.org/officeDocument/2006/relationships/hyperlink" Target="http://www.diegoballesteros.com/" TargetMode="External"/><Relationship Id="rId128" Type="http://schemas.openxmlformats.org/officeDocument/2006/relationships/hyperlink" Target="https://www.linkedin.com/in/telmo-perez-luaces/" TargetMode="External"/><Relationship Id="rId149" Type="http://schemas.openxmlformats.org/officeDocument/2006/relationships/hyperlink" Target="https://es.linkedin.com/in/miguel-vicente-5348358" TargetMode="External"/><Relationship Id="rId5" Type="http://schemas.openxmlformats.org/officeDocument/2006/relationships/hyperlink" Target="mailto:info@aconinvestments.com" TargetMode="External"/><Relationship Id="rId95" Type="http://schemas.openxmlformats.org/officeDocument/2006/relationships/hyperlink" Target="https://www.linkedin.com/in/pablocarrallo/" TargetMode="External"/><Relationship Id="rId160" Type="http://schemas.openxmlformats.org/officeDocument/2006/relationships/hyperlink" Target="https://www.linkedin.com/in/markus-kopka/" TargetMode="External"/><Relationship Id="rId181" Type="http://schemas.openxmlformats.org/officeDocument/2006/relationships/hyperlink" Target="https://www.linkedin.com/in/lilyjoo/" TargetMode="External"/><Relationship Id="rId216" Type="http://schemas.openxmlformats.org/officeDocument/2006/relationships/hyperlink" Target="mailto:info@draperb1.vc" TargetMode="External"/><Relationship Id="rId22" Type="http://schemas.openxmlformats.org/officeDocument/2006/relationships/hyperlink" Target="mailto:kyung@hpegrowthcapital.com" TargetMode="External"/><Relationship Id="rId43" Type="http://schemas.openxmlformats.org/officeDocument/2006/relationships/hyperlink" Target="http://alantis.es/" TargetMode="External"/><Relationship Id="rId64" Type="http://schemas.openxmlformats.org/officeDocument/2006/relationships/hyperlink" Target="https://www.linkedin.com/in/bernardohernandez" TargetMode="External"/><Relationship Id="rId118" Type="http://schemas.openxmlformats.org/officeDocument/2006/relationships/hyperlink" Target="https://www.linkedin.com/in/rubenferreiro/" TargetMode="External"/><Relationship Id="rId139" Type="http://schemas.openxmlformats.org/officeDocument/2006/relationships/hyperlink" Target="https://www.linkedin.com/in/kobylanski/" TargetMode="External"/><Relationship Id="rId85" Type="http://schemas.openxmlformats.org/officeDocument/2006/relationships/hyperlink" Target="https://www.linkedin.com/in/janbrinckmann/" TargetMode="External"/><Relationship Id="rId150" Type="http://schemas.openxmlformats.org/officeDocument/2006/relationships/hyperlink" Target="https://www.linkedin.com/in/miguel-huguet-vi%C3%B1as-51b09444/" TargetMode="External"/><Relationship Id="rId171" Type="http://schemas.openxmlformats.org/officeDocument/2006/relationships/hyperlink" Target="https://www.linkedin.com/in/marc-ingla-65b227/" TargetMode="External"/><Relationship Id="rId192" Type="http://schemas.openxmlformats.org/officeDocument/2006/relationships/hyperlink" Target="mailto:info@ad4ventures.com" TargetMode="External"/><Relationship Id="rId206" Type="http://schemas.openxmlformats.org/officeDocument/2006/relationships/hyperlink" Target="mailto:madrid@coreangels.com" TargetMode="External"/><Relationship Id="rId12" Type="http://schemas.openxmlformats.org/officeDocument/2006/relationships/hyperlink" Target="mailto:info@adventventures.com." TargetMode="External"/><Relationship Id="rId33" Type="http://schemas.openxmlformats.org/officeDocument/2006/relationships/hyperlink" Target="https://www.linkedin.com/search/results/people/?keywords=Jorge%20Jos%C3%A9%20de%20Mello%20Portobello%20Capital" TargetMode="External"/><Relationship Id="rId108" Type="http://schemas.openxmlformats.org/officeDocument/2006/relationships/hyperlink" Target="https://www.linkedin.com/in/ricardo-coscollola-17527711/" TargetMode="External"/><Relationship Id="rId129" Type="http://schemas.openxmlformats.org/officeDocument/2006/relationships/hyperlink" Target="https://www.linkedin.com/in/teresa-dominguez-/" TargetMode="External"/><Relationship Id="rId54" Type="http://schemas.openxmlformats.org/officeDocument/2006/relationships/hyperlink" Target="https://www.linkedin.com/in/alexbki/" TargetMode="External"/><Relationship Id="rId75" Type="http://schemas.openxmlformats.org/officeDocument/2006/relationships/hyperlink" Target="https://www.linkedin.com/in/diegomarino/" TargetMode="External"/><Relationship Id="rId96" Type="http://schemas.openxmlformats.org/officeDocument/2006/relationships/hyperlink" Target="https://www.linkedin.com/in/pabloszefner/" TargetMode="External"/><Relationship Id="rId140" Type="http://schemas.openxmlformats.org/officeDocument/2006/relationships/hyperlink" Target="https://www.linkedin.com/in/xavier-rubiralta-1b753a5/?miniProfileUrn=urn%3Ali%3Afs_miniProfile%3AACoAAAD4A5sBpSTmgiCfLq7z_pNI7JbJ5MTc1Vo" TargetMode="External"/><Relationship Id="rId161" Type="http://schemas.openxmlformats.org/officeDocument/2006/relationships/hyperlink" Target="https://www.linkedin.com/in/marioundanet/" TargetMode="External"/><Relationship Id="rId182" Type="http://schemas.openxmlformats.org/officeDocument/2006/relationships/hyperlink" Target="https://www.linkedin.com/in/lauraurquizu/" TargetMode="External"/><Relationship Id="rId217" Type="http://schemas.openxmlformats.org/officeDocument/2006/relationships/hyperlink" Target="mailto:info@easoventures.com" TargetMode="External"/><Relationship Id="rId6" Type="http://schemas.openxmlformats.org/officeDocument/2006/relationships/hyperlink" Target="mailto:jaimepuig@fmanagers.com%20" TargetMode="External"/><Relationship Id="rId23" Type="http://schemas.openxmlformats.org/officeDocument/2006/relationships/hyperlink" Target="mailto:contact.spain@najeti.com" TargetMode="External"/><Relationship Id="rId119" Type="http://schemas.openxmlformats.org/officeDocument/2006/relationships/hyperlink" Target="https://www.linkedin.com/in/sandra-navarro-9b8242160/" TargetMode="External"/><Relationship Id="rId44" Type="http://schemas.openxmlformats.org/officeDocument/2006/relationships/hyperlink" Target="https://es.linkedin.com/in/albertarmengol" TargetMode="External"/><Relationship Id="rId65" Type="http://schemas.openxmlformats.org/officeDocument/2006/relationships/hyperlink" Target="https://www.linkedin.com/in/carlosblanco/" TargetMode="External"/><Relationship Id="rId86" Type="http://schemas.openxmlformats.org/officeDocument/2006/relationships/hyperlink" Target="https://www.linkedin.com/in/javierandresmarin/" TargetMode="External"/><Relationship Id="rId130" Type="http://schemas.openxmlformats.org/officeDocument/2006/relationships/hyperlink" Target="https://www.linkedin.com/in/tomhorsey/" TargetMode="External"/><Relationship Id="rId151" Type="http://schemas.openxmlformats.org/officeDocument/2006/relationships/hyperlink" Target="https://www.linkedin.com/in/miguel-eguizabal-abad/" TargetMode="External"/><Relationship Id="rId172" Type="http://schemas.openxmlformats.org/officeDocument/2006/relationships/hyperlink" Target="https://www.linkedin.com/in/marcedo/" TargetMode="External"/><Relationship Id="rId193" Type="http://schemas.openxmlformats.org/officeDocument/2006/relationships/hyperlink" Target="mailto:alex@marsbased.com" TargetMode="External"/><Relationship Id="rId207" Type="http://schemas.openxmlformats.org/officeDocument/2006/relationships/hyperlink" Target="mailto:info@cupidocapital.com" TargetMode="External"/><Relationship Id="rId13" Type="http://schemas.openxmlformats.org/officeDocument/2006/relationships/hyperlink" Target="mailto:info@hpegrowthcapital.com" TargetMode="External"/><Relationship Id="rId109" Type="http://schemas.openxmlformats.org/officeDocument/2006/relationships/hyperlink" Target="https://www.linkedin.com/in/ricardo-fernandez-muinos/" TargetMode="External"/><Relationship Id="rId34" Type="http://schemas.openxmlformats.org/officeDocument/2006/relationships/hyperlink" Target="https://www.linkedin.com/search/results/people/?keywords=Eduardo%20Navarro%20Sherpa%20Capital" TargetMode="External"/><Relationship Id="rId55" Type="http://schemas.openxmlformats.org/officeDocument/2006/relationships/hyperlink" Target="https://www.linkedin.com/in/dantart/" TargetMode="External"/><Relationship Id="rId76" Type="http://schemas.openxmlformats.org/officeDocument/2006/relationships/hyperlink" Target="https://www.linkedin.com/in/elenagomezdelpozuelo/?originalSubdomain=es" TargetMode="External"/><Relationship Id="rId97" Type="http://schemas.openxmlformats.org/officeDocument/2006/relationships/hyperlink" Target="https://www.linkedin.com/in/pablo-zubicaray-01866a/?originalSubdomain=es" TargetMode="External"/><Relationship Id="rId120" Type="http://schemas.openxmlformats.org/officeDocument/2006/relationships/hyperlink" Target="https://www.linkedin.com/in/santibernal/" TargetMode="External"/><Relationship Id="rId141" Type="http://schemas.openxmlformats.org/officeDocument/2006/relationships/hyperlink" Target="https://www.linkedin.com/in/xavier-durall/" TargetMode="External"/><Relationship Id="rId7" Type="http://schemas.openxmlformats.org/officeDocument/2006/relationships/hyperlink" Target="mailto:info@sherpacapital.es" TargetMode="External"/><Relationship Id="rId162" Type="http://schemas.openxmlformats.org/officeDocument/2006/relationships/hyperlink" Target="https://www.linkedin.com/in/mariobrueggemann/" TargetMode="External"/><Relationship Id="rId183" Type="http://schemas.openxmlformats.org/officeDocument/2006/relationships/hyperlink" Target="https://www.linkedin.com/in/adeyemiajao" TargetMode="External"/><Relationship Id="rId218" Type="http://schemas.openxmlformats.org/officeDocument/2006/relationships/hyperlink" Target="mailto:elena@gomezdelpozuelo.com" TargetMode="External"/><Relationship Id="rId24" Type="http://schemas.openxmlformats.org/officeDocument/2006/relationships/hyperlink" Target="https://www.linkedin.com/company/warburg-pincus-llc/" TargetMode="External"/><Relationship Id="rId45" Type="http://schemas.openxmlformats.org/officeDocument/2006/relationships/hyperlink" Target="https://www.linkedin.com/in/albertobetella/" TargetMode="External"/><Relationship Id="rId66" Type="http://schemas.openxmlformats.org/officeDocument/2006/relationships/hyperlink" Target="https://ae.linkedin.com/in/carlosdomingo" TargetMode="External"/><Relationship Id="rId87" Type="http://schemas.openxmlformats.org/officeDocument/2006/relationships/hyperlink" Target="https://www.linkedin.com/in/fesja/" TargetMode="External"/><Relationship Id="rId110" Type="http://schemas.openxmlformats.org/officeDocument/2006/relationships/hyperlink" Target="https://www.linkedin.com/in/robertosaintmalo/" TargetMode="External"/><Relationship Id="rId131" Type="http://schemas.openxmlformats.org/officeDocument/2006/relationships/hyperlink" Target="https://www.linkedin.com/in/tdiago/?originalSubdomain=es" TargetMode="External"/><Relationship Id="rId152" Type="http://schemas.openxmlformats.org/officeDocument/2006/relationships/hyperlink" Target="https://www.linkedin.com/in/miguelarias/" TargetMode="External"/><Relationship Id="rId173" Type="http://schemas.openxmlformats.org/officeDocument/2006/relationships/hyperlink" Target="https://www.linkedin.com/in/marcborrellbemobile/" TargetMode="External"/><Relationship Id="rId194" Type="http://schemas.openxmlformats.org/officeDocument/2006/relationships/hyperlink" Target="mailto:andoni@alfaropartners.com" TargetMode="External"/><Relationship Id="rId208" Type="http://schemas.openxmlformats.org/officeDocument/2006/relationships/hyperlink" Target="mailto:daniel@taboas.com" TargetMode="External"/><Relationship Id="rId14" Type="http://schemas.openxmlformats.org/officeDocument/2006/relationships/hyperlink" Target="mailto:info@evp-capital.com" TargetMode="External"/><Relationship Id="rId35" Type="http://schemas.openxmlformats.org/officeDocument/2006/relationships/hyperlink" Target="https://www.linkedin.com/search/results/people/?keywords=Jorge%20Fern%C3%A1ndez%20Miret%20Sherpa%20Capital" TargetMode="External"/><Relationship Id="rId56" Type="http://schemas.openxmlformats.org/officeDocument/2006/relationships/hyperlink" Target="https://www.linkedin.com/in/alexrodba/" TargetMode="External"/><Relationship Id="rId77" Type="http://schemas.openxmlformats.org/officeDocument/2006/relationships/hyperlink" Target="https://angel.co/elies" TargetMode="External"/><Relationship Id="rId100" Type="http://schemas.openxmlformats.org/officeDocument/2006/relationships/hyperlink" Target="https://www.linkedin.com/in/patriciohunt/" TargetMode="External"/><Relationship Id="rId8" Type="http://schemas.openxmlformats.org/officeDocument/2006/relationships/hyperlink" Target="mailto:info@sherpacapital.es" TargetMode="External"/><Relationship Id="rId51" Type="http://schemas.openxmlformats.org/officeDocument/2006/relationships/hyperlink" Target="https://es.linkedin.com/in/albertoknapp" TargetMode="External"/><Relationship Id="rId72" Type="http://schemas.openxmlformats.org/officeDocument/2006/relationships/hyperlink" Target="https://es.linkedin.com/in/david-tomas-88529b" TargetMode="External"/><Relationship Id="rId93" Type="http://schemas.openxmlformats.org/officeDocument/2006/relationships/hyperlink" Target="https://www.linkedin.com/in/oscarfuente/" TargetMode="External"/><Relationship Id="rId98" Type="http://schemas.openxmlformats.org/officeDocument/2006/relationships/hyperlink" Target="https://www.linkedin.com/in/pacogimena/" TargetMode="External"/><Relationship Id="rId121" Type="http://schemas.openxmlformats.org/officeDocument/2006/relationships/hyperlink" Target="https://www.linkedin.com/in/sebchartier/" TargetMode="External"/><Relationship Id="rId142" Type="http://schemas.openxmlformats.org/officeDocument/2006/relationships/hyperlink" Target="https://www.linkedin.com/in/xavierpladellorens/" TargetMode="External"/><Relationship Id="rId163" Type="http://schemas.openxmlformats.org/officeDocument/2006/relationships/hyperlink" Target="https://www.linkedin.com/in/marialuisagarciag/" TargetMode="External"/><Relationship Id="rId184" Type="http://schemas.openxmlformats.org/officeDocument/2006/relationships/hyperlink" Target="https://es.linkedin.com/company/15kangels" TargetMode="External"/><Relationship Id="rId189" Type="http://schemas.openxmlformats.org/officeDocument/2006/relationships/hyperlink" Target="mailto:alberto@geltapp.com" TargetMode="External"/><Relationship Id="rId219" Type="http://schemas.openxmlformats.org/officeDocument/2006/relationships/hyperlink" Target="mailto:elies@campo.com" TargetMode="External"/><Relationship Id="rId3" Type="http://schemas.openxmlformats.org/officeDocument/2006/relationships/hyperlink" Target="mailto:daniel.vinas@3i.com" TargetMode="External"/><Relationship Id="rId214" Type="http://schemas.openxmlformats.org/officeDocument/2006/relationships/hyperlink" Target="mailto:diego@marino.com" TargetMode="External"/><Relationship Id="rId25" Type="http://schemas.openxmlformats.org/officeDocument/2006/relationships/hyperlink" Target="mailto:hidafasa@infonegocio.com%20(contacto%20general)" TargetMode="External"/><Relationship Id="rId46" Type="http://schemas.openxmlformats.org/officeDocument/2006/relationships/hyperlink" Target="https://www.linkedin.com/in/albertcolomer/" TargetMode="External"/><Relationship Id="rId67" Type="http://schemas.openxmlformats.org/officeDocument/2006/relationships/hyperlink" Target="https://www.linkedin.com/in/carlos-pierre-88b15461/" TargetMode="External"/><Relationship Id="rId116" Type="http://schemas.openxmlformats.org/officeDocument/2006/relationships/hyperlink" Target="https://www.linkedin.com/in/rogermiralles/" TargetMode="External"/><Relationship Id="rId137" Type="http://schemas.openxmlformats.org/officeDocument/2006/relationships/hyperlink" Target="https://www.linkedin.com/in/vincent-klug-20b2aa90/" TargetMode="External"/><Relationship Id="rId158" Type="http://schemas.openxmlformats.org/officeDocument/2006/relationships/hyperlink" Target="https://www.linkedin.com/in/martimanent/" TargetMode="External"/><Relationship Id="rId20" Type="http://schemas.openxmlformats.org/officeDocument/2006/relationships/hyperlink" Target="https://ch.linkedin.com/in/cedrickoehler" TargetMode="External"/><Relationship Id="rId41" Type="http://schemas.openxmlformats.org/officeDocument/2006/relationships/hyperlink" Target="https://www.awincapital.com/videojuegos/" TargetMode="External"/><Relationship Id="rId62" Type="http://schemas.openxmlformats.org/officeDocument/2006/relationships/hyperlink" Target="https://www.linkedin.com/in/antonio-cantalapiedra-asensio-3076851/" TargetMode="External"/><Relationship Id="rId83" Type="http://schemas.openxmlformats.org/officeDocument/2006/relationships/hyperlink" Target="https://www.linkedin.com/in/ikermarcaide/" TargetMode="External"/><Relationship Id="rId88" Type="http://schemas.openxmlformats.org/officeDocument/2006/relationships/hyperlink" Target="https://www.linkedin.com/in/javier-llorente-moral-a6ab9913b/" TargetMode="External"/><Relationship Id="rId111" Type="http://schemas.openxmlformats.org/officeDocument/2006/relationships/hyperlink" Target="https://www.linkedin.com/in/rodolfocarpintier/" TargetMode="External"/><Relationship Id="rId132" Type="http://schemas.openxmlformats.org/officeDocument/2006/relationships/hyperlink" Target="https://www.linkedin.com/in/tomasguillenifedes/" TargetMode="External"/><Relationship Id="rId153" Type="http://schemas.openxmlformats.org/officeDocument/2006/relationships/hyperlink" Target="https://www.linkedin.com/in/tovar/" TargetMode="External"/><Relationship Id="rId174" Type="http://schemas.openxmlformats.org/officeDocument/2006/relationships/hyperlink" Target="https://www.linkedin.com/in/manuel-muniz-morell/" TargetMode="External"/><Relationship Id="rId179" Type="http://schemas.openxmlformats.org/officeDocument/2006/relationships/hyperlink" Target="https://www.linkedin.com/in/luis-bonell-64a71034/" TargetMode="External"/><Relationship Id="rId195" Type="http://schemas.openxmlformats.org/officeDocument/2006/relationships/hyperlink" Target="mailto:andreas@mihalovits.com" TargetMode="External"/><Relationship Id="rId209" Type="http://schemas.openxmlformats.org/officeDocument/2006/relationships/hyperlink" Target="mailto:david@carrero.com" TargetMode="External"/><Relationship Id="rId190" Type="http://schemas.openxmlformats.org/officeDocument/2006/relationships/hyperlink" Target="mailto:info@4founderscapital.com" TargetMode="External"/><Relationship Id="rId204" Type="http://schemas.openxmlformats.org/officeDocument/2006/relationships/hyperlink" Target="mailto:carlos@securitize.io" TargetMode="External"/><Relationship Id="rId220" Type="http://schemas.openxmlformats.org/officeDocument/2006/relationships/hyperlink" Target="http://mola.com/" TargetMode="External"/><Relationship Id="rId15" Type="http://schemas.openxmlformats.org/officeDocument/2006/relationships/hyperlink" Target="mailto:info@hpegrowthcapital.com" TargetMode="External"/><Relationship Id="rId36" Type="http://schemas.openxmlformats.org/officeDocument/2006/relationships/hyperlink" Target="https://www.linkedin.com/search/results/people/?keywords=Jos%C3%A9%20Mar%C3%ADa%20Retana%20Sherpa%20Capital" TargetMode="External"/><Relationship Id="rId57" Type="http://schemas.openxmlformats.org/officeDocument/2006/relationships/hyperlink" Target="https://www.linkedin.com/in/andoni-alfaro-8332572/" TargetMode="External"/><Relationship Id="rId106" Type="http://schemas.openxmlformats.org/officeDocument/2006/relationships/hyperlink" Target="https://www.linkedin.com/in/ragor/" TargetMode="External"/><Relationship Id="rId127" Type="http://schemas.openxmlformats.org/officeDocument/2006/relationships/hyperlink" Target="https://www.linkedin.com/in/steven-zitzer-319901/" TargetMode="External"/><Relationship Id="rId10" Type="http://schemas.openxmlformats.org/officeDocument/2006/relationships/hyperlink" Target="mailto:contact.spain@najeti.com" TargetMode="External"/><Relationship Id="rId31" Type="http://schemas.openxmlformats.org/officeDocument/2006/relationships/hyperlink" Target="https://www.linkedin.com/search/results/people/?keywords=Juan%20Luis%20Ram%C3%ADrez%20Portobello%20Capital" TargetMode="External"/><Relationship Id="rId52" Type="http://schemas.openxmlformats.org/officeDocument/2006/relationships/hyperlink" Target="https://www.linkedin.com/in/alejandro-de-le%C3%B3n-moreno-a550821b/" TargetMode="External"/><Relationship Id="rId73" Type="http://schemas.openxmlformats.org/officeDocument/2006/relationships/hyperlink" Target="https://es.linkedin.com/in/didaclee" TargetMode="External"/><Relationship Id="rId78" Type="http://schemas.openxmlformats.org/officeDocument/2006/relationships/hyperlink" Target="https://www.linkedin.com/in/enekoknorr" TargetMode="External"/><Relationship Id="rId94" Type="http://schemas.openxmlformats.org/officeDocument/2006/relationships/hyperlink" Target="https://www.linkedin.com/in/pablocallejon/" TargetMode="External"/><Relationship Id="rId99" Type="http://schemas.openxmlformats.org/officeDocument/2006/relationships/hyperlink" Target="https://www.linkedin.com/in/patriciacasadofdezdecarranza/?originalSubdomain=es" TargetMode="External"/><Relationship Id="rId101" Type="http://schemas.openxmlformats.org/officeDocument/2006/relationships/hyperlink" Target="https://www.linkedin.com/in/pedro-anton-ned-consejero-cfo/" TargetMode="External"/><Relationship Id="rId122" Type="http://schemas.openxmlformats.org/officeDocument/2006/relationships/hyperlink" Target="https://www.linkedin.com/in/sergi-vila-costa-825872108/" TargetMode="External"/><Relationship Id="rId143" Type="http://schemas.openxmlformats.org/officeDocument/2006/relationships/hyperlink" Target="https://es.linkedin.com/in/yago-arbeloa-2448623" TargetMode="External"/><Relationship Id="rId148" Type="http://schemas.openxmlformats.org/officeDocument/2006/relationships/hyperlink" Target="https://www.linkedin.com/in/mikelcastanoslopez/" TargetMode="External"/><Relationship Id="rId164" Type="http://schemas.openxmlformats.org/officeDocument/2006/relationships/hyperlink" Target="https://www.linkedin.com/in/mariaeugeniagiron/" TargetMode="External"/><Relationship Id="rId169" Type="http://schemas.openxmlformats.org/officeDocument/2006/relationships/hyperlink" Target="https://www.linkedin.com/in/marcvicente/" TargetMode="External"/><Relationship Id="rId185" Type="http://schemas.openxmlformats.org/officeDocument/2006/relationships/hyperlink" Target="https://es.linkedin.com/company/4founders-capital" TargetMode="External"/><Relationship Id="rId4" Type="http://schemas.openxmlformats.org/officeDocument/2006/relationships/hyperlink" Target="tel:2024541100" TargetMode="External"/><Relationship Id="rId9" Type="http://schemas.openxmlformats.org/officeDocument/2006/relationships/hyperlink" Target="mailto:info@sherpacapital.es" TargetMode="External"/><Relationship Id="rId180" Type="http://schemas.openxmlformats.org/officeDocument/2006/relationships/hyperlink" Target="https://www.linkedin.com/in/lizfleming/" TargetMode="External"/><Relationship Id="rId210" Type="http://schemas.openxmlformats.org/officeDocument/2006/relationships/hyperlink" Target="mailto:david@daruan.vc" TargetMode="External"/><Relationship Id="rId215" Type="http://schemas.openxmlformats.org/officeDocument/2006/relationships/hyperlink" Target="mailto:info@dozeninvestments.com" TargetMode="External"/><Relationship Id="rId26" Type="http://schemas.openxmlformats.org/officeDocument/2006/relationships/hyperlink" Target="mailto:asobrino@naropa.es" TargetMode="External"/><Relationship Id="rId47" Type="http://schemas.openxmlformats.org/officeDocument/2006/relationships/hyperlink" Target="https://www.linkedin.com/in/albertfeliu/" TargetMode="External"/><Relationship Id="rId68" Type="http://schemas.openxmlformats.org/officeDocument/2006/relationships/hyperlink" Target="https://www.cupidocapital.com/" TargetMode="External"/><Relationship Id="rId89" Type="http://schemas.openxmlformats.org/officeDocument/2006/relationships/hyperlink" Target="https://es.linkedin.com/in/jesusmonleon" TargetMode="External"/><Relationship Id="rId112" Type="http://schemas.openxmlformats.org/officeDocument/2006/relationships/hyperlink" Target="https://www.linkedin.com/in/rodrigogarciadelacruz/" TargetMode="External"/><Relationship Id="rId133" Type="http://schemas.openxmlformats.org/officeDocument/2006/relationships/hyperlink" Target="https://www.linkedin.com/in/tomasmendo/" TargetMode="External"/><Relationship Id="rId154" Type="http://schemas.openxmlformats.org/officeDocument/2006/relationships/hyperlink" Target="https://www.linkedin.com/in/miguelalvarezrey/" TargetMode="External"/><Relationship Id="rId175" Type="http://schemas.openxmlformats.org/officeDocument/2006/relationships/hyperlink" Target="https://www.linkedin.com/in/mjaffrin/" TargetMode="External"/><Relationship Id="rId196" Type="http://schemas.openxmlformats.org/officeDocument/2006/relationships/hyperlink" Target="mailto:andres@bou.com" TargetMode="External"/><Relationship Id="rId200" Type="http://schemas.openxmlformats.org/officeDocument/2006/relationships/hyperlink" Target="mailto:avi@travelperk.com" TargetMode="External"/><Relationship Id="rId16" Type="http://schemas.openxmlformats.org/officeDocument/2006/relationships/hyperlink" Target="mailto:info@s-refit.de" TargetMode="External"/><Relationship Id="rId221" Type="http://schemas.openxmlformats.org/officeDocument/2006/relationships/hyperlink" Target="http://wuaki.tv/" TargetMode="External"/><Relationship Id="rId37" Type="http://schemas.openxmlformats.org/officeDocument/2006/relationships/hyperlink" Target="https://www.linkedin.com/company/verm%C3%BA" TargetMode="External"/><Relationship Id="rId58" Type="http://schemas.openxmlformats.org/officeDocument/2006/relationships/hyperlink" Target="https://www.linkedin.com/in/andreasmihalovits/" TargetMode="External"/><Relationship Id="rId79" Type="http://schemas.openxmlformats.org/officeDocument/2006/relationships/hyperlink" Target="https://www.linkedin.com/in/enriquedubois/" TargetMode="External"/><Relationship Id="rId102" Type="http://schemas.openxmlformats.org/officeDocument/2006/relationships/hyperlink" Target="https://www.linkedin.com/in/pedro-de-%C3%A1lava-2127244/" TargetMode="External"/><Relationship Id="rId123" Type="http://schemas.openxmlformats.org/officeDocument/2006/relationships/hyperlink" Target="https://www.linkedin.com/in/sergiobalcellsm/" TargetMode="External"/><Relationship Id="rId144" Type="http://schemas.openxmlformats.org/officeDocument/2006/relationships/hyperlink" Target="https://www.linkedin.com/in/zaryn/" TargetMode="External"/><Relationship Id="rId90" Type="http://schemas.openxmlformats.org/officeDocument/2006/relationships/hyperlink" Target="https://www.linkedin.com/in/jonetxeberriaijurra/" TargetMode="External"/><Relationship Id="rId165" Type="http://schemas.openxmlformats.org/officeDocument/2006/relationships/hyperlink" Target="https://www.linkedin.com/in/mariaechavarritoda/" TargetMode="External"/><Relationship Id="rId186" Type="http://schemas.openxmlformats.org/officeDocument/2006/relationships/hyperlink" Target="mailto:contact@albertoknapp.com" TargetMode="External"/><Relationship Id="rId211" Type="http://schemas.openxmlformats.org/officeDocument/2006/relationships/hyperlink" Target="mailto:david@tomas.com" TargetMode="External"/><Relationship Id="rId27" Type="http://schemas.openxmlformats.org/officeDocument/2006/relationships/hyperlink" Target="mailto:dprado@omega-capital.com" TargetMode="External"/><Relationship Id="rId48" Type="http://schemas.openxmlformats.org/officeDocument/2006/relationships/hyperlink" Target="https://www.linkedin.com/in/albertmorcillo/" TargetMode="External"/><Relationship Id="rId69" Type="http://schemas.openxmlformats.org/officeDocument/2006/relationships/hyperlink" Target="https://www.linkedin.com/in/databoas/" TargetMode="External"/><Relationship Id="rId113" Type="http://schemas.openxmlformats.org/officeDocument/2006/relationships/hyperlink" Target="https://www.linkedin.com/in/rodrigosilvaramos/" TargetMode="External"/><Relationship Id="rId134" Type="http://schemas.openxmlformats.org/officeDocument/2006/relationships/hyperlink" Target="https://www.linkedin.com/in/vicentearias/" TargetMode="External"/><Relationship Id="rId80" Type="http://schemas.openxmlformats.org/officeDocument/2006/relationships/hyperlink" Target="https://es.linkedin.com/in/fderbaix" TargetMode="External"/><Relationship Id="rId155" Type="http://schemas.openxmlformats.org/officeDocument/2006/relationships/hyperlink" Target="https://www.linkedin.com/in/michael-kappler/" TargetMode="External"/><Relationship Id="rId176" Type="http://schemas.openxmlformats.org/officeDocument/2006/relationships/hyperlink" Target="http://www.makingideasbusiness.com/cuentanos-tu-idea/" TargetMode="External"/><Relationship Id="rId197" Type="http://schemas.openxmlformats.org/officeDocument/2006/relationships/hyperlink" Target="mailto:angel@lantacapital.com" TargetMode="External"/><Relationship Id="rId201" Type="http://schemas.openxmlformats.org/officeDocument/2006/relationships/hyperlink" Target="mailto:info@awincapital.com" TargetMode="External"/><Relationship Id="rId222" Type="http://schemas.openxmlformats.org/officeDocument/2006/relationships/hyperlink" Target="https://vas.ventures/%20VAS%20Ventures%20es%20su%20veh&#237;culo%20de%20inversi&#243;n" TargetMode="External"/><Relationship Id="rId17" Type="http://schemas.openxmlformats.org/officeDocument/2006/relationships/hyperlink" Target="mailto:miguel.g.cordoba@oquendocapital.com" TargetMode="External"/><Relationship Id="rId38" Type="http://schemas.openxmlformats.org/officeDocument/2006/relationships/hyperlink" Target="https://www.linkedin.com/in/ratgasol/" TargetMode="External"/><Relationship Id="rId59" Type="http://schemas.openxmlformats.org/officeDocument/2006/relationships/hyperlink" Target="https://www.linkedin.com/in/andresbou/" TargetMode="External"/><Relationship Id="rId103" Type="http://schemas.openxmlformats.org/officeDocument/2006/relationships/hyperlink" Target="https://www.linkedin.com/in/pedrotrucharte/?originalSubdomain=es" TargetMode="External"/><Relationship Id="rId124" Type="http://schemas.openxmlformats.org/officeDocument/2006/relationships/hyperlink" Target="https://www.linkedin.com/in/sergiocortesabad/" TargetMode="External"/><Relationship Id="rId70" Type="http://schemas.openxmlformats.org/officeDocument/2006/relationships/hyperlink" Target="https://www.linkedin.com/in/dcarrero/" TargetMode="External"/><Relationship Id="rId91" Type="http://schemas.openxmlformats.org/officeDocument/2006/relationships/hyperlink" Target="https://www.linkedin.com/in/nicobour/" TargetMode="External"/><Relationship Id="rId145" Type="http://schemas.openxmlformats.org/officeDocument/2006/relationships/hyperlink" Target="https://www.linkedin.com/in/francesc-duarri-6572a6b/" TargetMode="External"/><Relationship Id="rId166" Type="http://schemas.openxmlformats.org/officeDocument/2006/relationships/hyperlink" Target="https://uk.linkedin.com/in/marekfodor" TargetMode="External"/><Relationship Id="rId187" Type="http://schemas.openxmlformats.org/officeDocument/2006/relationships/hyperlink" Target="mailto:alex@bki.es" TargetMode="External"/><Relationship Id="rId1" Type="http://schemas.openxmlformats.org/officeDocument/2006/relationships/hyperlink" Target="mailto:nz@ergoncapital.es" TargetMode="External"/><Relationship Id="rId212" Type="http://schemas.openxmlformats.org/officeDocument/2006/relationships/hyperlink" Target="mailto:didac@lee.com" TargetMode="External"/><Relationship Id="rId28" Type="http://schemas.openxmlformats.org/officeDocument/2006/relationships/hyperlink" Target="mailto:isalcedo@elenebro.com" TargetMode="External"/><Relationship Id="rId49" Type="http://schemas.openxmlformats.org/officeDocument/2006/relationships/hyperlink" Target="https://www.linkedin.com/in/albertribera/" TargetMode="External"/><Relationship Id="rId114" Type="http://schemas.openxmlformats.org/officeDocument/2006/relationships/hyperlink" Target="https://www.linkedin.com/in/rogeliovillalbagarcia/" TargetMode="External"/><Relationship Id="rId60" Type="http://schemas.openxmlformats.org/officeDocument/2006/relationships/hyperlink" Target="https://www.linkedin.com/in/angelgarciabcn/?originalSubdomain=es" TargetMode="External"/><Relationship Id="rId81" Type="http://schemas.openxmlformats.org/officeDocument/2006/relationships/hyperlink" Target="https://www.linkedin.com/in/juanalvarezdelara/" TargetMode="External"/><Relationship Id="rId135" Type="http://schemas.openxmlformats.org/officeDocument/2006/relationships/hyperlink" Target="https://www.linkedin.com/in/vicente-montesinos-8a5a94/" TargetMode="External"/><Relationship Id="rId156" Type="http://schemas.openxmlformats.org/officeDocument/2006/relationships/hyperlink" Target="https://www.linkedin.com/in/mercedesblancogonzalez/" TargetMode="External"/><Relationship Id="rId177" Type="http://schemas.openxmlformats.org/officeDocument/2006/relationships/hyperlink" Target="https://www.linkedin.com/in/luismartincabiedes/?locale=es_ES" TargetMode="External"/><Relationship Id="rId198" Type="http://schemas.openxmlformats.org/officeDocument/2006/relationships/hyperlink" Target="mailto:info@angelscapital.es" TargetMode="External"/><Relationship Id="rId202" Type="http://schemas.openxmlformats.org/officeDocument/2006/relationships/hyperlink" Target="mailto:info@conexo.vc" TargetMode="External"/><Relationship Id="rId223" Type="http://schemas.openxmlformats.org/officeDocument/2006/relationships/drawing" Target="../drawings/drawing1.xml"/><Relationship Id="rId18" Type="http://schemas.openxmlformats.org/officeDocument/2006/relationships/hyperlink" Target="mailto:atencionclientetreaam@treaam.com" TargetMode="External"/><Relationship Id="rId39" Type="http://schemas.openxmlformats.org/officeDocument/2006/relationships/hyperlink" Target="https://www.linkedin.com/in/ramon-oll%C3%A9-346a946/" TargetMode="External"/><Relationship Id="rId50" Type="http://schemas.openxmlformats.org/officeDocument/2006/relationships/hyperlink" Target="https://www.linkedin.com/in/abenbunan/" TargetMode="External"/><Relationship Id="rId104" Type="http://schemas.openxmlformats.org/officeDocument/2006/relationships/hyperlink" Target="https://www.linkedin.com/in/perevalles/?originalSubdomain=es" TargetMode="External"/><Relationship Id="rId125" Type="http://schemas.openxmlformats.org/officeDocument/2006/relationships/hyperlink" Target="https://www.linkedin.com/in/silviacarnemasllorens/" TargetMode="External"/><Relationship Id="rId146" Type="http://schemas.openxmlformats.org/officeDocument/2006/relationships/hyperlink" Target="https://www.linkedin.com/in/javiermegiasterol/" TargetMode="External"/><Relationship Id="rId167" Type="http://schemas.openxmlformats.org/officeDocument/2006/relationships/hyperlink" Target="https://www.linkedin.com/in/marcos-cabezon-5664622/" TargetMode="External"/><Relationship Id="rId188" Type="http://schemas.openxmlformats.org/officeDocument/2006/relationships/hyperlink" Target="mailto:dantart@gmail.com" TargetMode="External"/><Relationship Id="rId71" Type="http://schemas.openxmlformats.org/officeDocument/2006/relationships/hyperlink" Target="https://www.linkedin.com/in/druizdeandres/?originalSubdomain=es" TargetMode="External"/><Relationship Id="rId92" Type="http://schemas.openxmlformats.org/officeDocument/2006/relationships/hyperlink" Target="https://es.linkedin.com/in/ojuncosa" TargetMode="External"/><Relationship Id="rId213" Type="http://schemas.openxmlformats.org/officeDocument/2006/relationships/hyperlink" Target="mailto:diego@ballesteros.com" TargetMode="External"/><Relationship Id="rId2" Type="http://schemas.openxmlformats.org/officeDocument/2006/relationships/hyperlink" Target="mailto:gcaillaux@generalatlantic.com" TargetMode="External"/><Relationship Id="rId29" Type="http://schemas.openxmlformats.org/officeDocument/2006/relationships/hyperlink" Target="mailto:pventura@fjme.org" TargetMode="External"/><Relationship Id="rId40" Type="http://schemas.openxmlformats.org/officeDocument/2006/relationships/hyperlink" Target="https://www.linkedin.com/in/madelman/" TargetMode="External"/><Relationship Id="rId115" Type="http://schemas.openxmlformats.org/officeDocument/2006/relationships/hyperlink" Target="https://www.linkedin.com/in/rogerbaranera/" TargetMode="External"/><Relationship Id="rId136" Type="http://schemas.openxmlformats.org/officeDocument/2006/relationships/hyperlink" Target="https://www.linkedin.com/in/victoria-majadas-morales-2179b74/?originalSubdomain=es" TargetMode="External"/><Relationship Id="rId157" Type="http://schemas.openxmlformats.org/officeDocument/2006/relationships/hyperlink" Target="https://www.linkedin.com/in/martinvarsavsky" TargetMode="External"/><Relationship Id="rId178" Type="http://schemas.openxmlformats.org/officeDocument/2006/relationships/hyperlink" Target="https://www.linkedin.com/in/luis-gutierrez-roy-9323305/?originalSubdomain=es" TargetMode="External"/><Relationship Id="rId61" Type="http://schemas.openxmlformats.org/officeDocument/2006/relationships/hyperlink" Target="https://www.linkedin.com/in/angelsroqueta-asesoramiento-estrategico-inversion-consejera-profesora-businessangel/" TargetMode="External"/><Relationship Id="rId82" Type="http://schemas.openxmlformats.org/officeDocument/2006/relationships/hyperlink" Target="https://www.linkedin.com/in/ignaciomayoldetord/" TargetMode="External"/><Relationship Id="rId199" Type="http://schemas.openxmlformats.org/officeDocument/2006/relationships/hyperlink" Target="mailto:angels@roqueta.com" TargetMode="External"/><Relationship Id="rId203" Type="http://schemas.openxmlformats.org/officeDocument/2006/relationships/hyperlink" Target="mailto:info@civeta.es" TargetMode="External"/><Relationship Id="rId19" Type="http://schemas.openxmlformats.org/officeDocument/2006/relationships/hyperlink" Target="mailto:shareholders@tikehaucapital.com" TargetMode="External"/><Relationship Id="rId30" Type="http://schemas.openxmlformats.org/officeDocument/2006/relationships/hyperlink" Target="https://www.linkedin.com/search/results/people/?keywords=Juan%20Luis%20Ram%C3%ADrez%20Portobello%20Capital" TargetMode="External"/><Relationship Id="rId105" Type="http://schemas.openxmlformats.org/officeDocument/2006/relationships/hyperlink" Target="https://www.linkedin.com/in/rafagarrido/" TargetMode="External"/><Relationship Id="rId126" Type="http://schemas.openxmlformats.org/officeDocument/2006/relationships/hyperlink" Target="https://www.linkedin.com/in/sixto/" TargetMode="External"/><Relationship Id="rId147" Type="http://schemas.openxmlformats.org/officeDocument/2006/relationships/hyperlink" Target="https://www.linkedin.com/in/nachogiral/" TargetMode="External"/><Relationship Id="rId168" Type="http://schemas.openxmlformats.org/officeDocument/2006/relationships/hyperlink" Target="https://es.linkedin.com/in/marcosalvescardoso"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zubilabs.com/" TargetMode="External"/><Relationship Id="rId299" Type="http://schemas.openxmlformats.org/officeDocument/2006/relationships/hyperlink" Target="https://twitter.com/marcingla" TargetMode="External"/><Relationship Id="rId21" Type="http://schemas.openxmlformats.org/officeDocument/2006/relationships/hyperlink" Target="https://twitter.com/albertobeta" TargetMode="External"/><Relationship Id="rId63" Type="http://schemas.openxmlformats.org/officeDocument/2006/relationships/hyperlink" Target="https://twitter.com/avimeir" TargetMode="External"/><Relationship Id="rId159" Type="http://schemas.openxmlformats.org/officeDocument/2006/relationships/hyperlink" Target="https://ufounders.com/" TargetMode="External"/><Relationship Id="rId324" Type="http://schemas.openxmlformats.org/officeDocument/2006/relationships/hyperlink" Target="mailto:info@accelgrow.com" TargetMode="External"/><Relationship Id="rId170" Type="http://schemas.openxmlformats.org/officeDocument/2006/relationships/hyperlink" Target="https://twitter.com/renedejong" TargetMode="External"/><Relationship Id="rId226" Type="http://schemas.openxmlformats.org/officeDocument/2006/relationships/hyperlink" Target="https://www.linkedin.com/in/vicente-montesinos-8a5a94/" TargetMode="External"/><Relationship Id="rId268" Type="http://schemas.openxmlformats.org/officeDocument/2006/relationships/hyperlink" Target="https://www.linkedin.com/in/nachogiral/" TargetMode="External"/><Relationship Id="rId32" Type="http://schemas.openxmlformats.org/officeDocument/2006/relationships/hyperlink" Target="https://es.linkedin.com/in/albertoknapp" TargetMode="External"/><Relationship Id="rId74" Type="http://schemas.openxmlformats.org/officeDocument/2006/relationships/hyperlink" Target="https://civeta.es/" TargetMode="External"/><Relationship Id="rId128" Type="http://schemas.openxmlformats.org/officeDocument/2006/relationships/hyperlink" Target="https://es.linkedin.com/in/jesusmonleon" TargetMode="External"/><Relationship Id="rId335" Type="http://schemas.openxmlformats.org/officeDocument/2006/relationships/hyperlink" Target="mailto:info@conexo.vc" TargetMode="External"/><Relationship Id="rId5" Type="http://schemas.openxmlformats.org/officeDocument/2006/relationships/hyperlink" Target="https://startupxplore.com/es" TargetMode="External"/><Relationship Id="rId181" Type="http://schemas.openxmlformats.org/officeDocument/2006/relationships/hyperlink" Target="https://www.linkedin.com/in/rodrigosilvaramos/" TargetMode="External"/><Relationship Id="rId237" Type="http://schemas.openxmlformats.org/officeDocument/2006/relationships/hyperlink" Target="https://www.linkedin.com/in/xavierpladellorens/" TargetMode="External"/><Relationship Id="rId279" Type="http://schemas.openxmlformats.org/officeDocument/2006/relationships/hyperlink" Target="https://twitter.com/martinvars" TargetMode="External"/><Relationship Id="rId43" Type="http://schemas.openxmlformats.org/officeDocument/2006/relationships/hyperlink" Target="https://www.linkedin.com/in/dantart/" TargetMode="External"/><Relationship Id="rId139" Type="http://schemas.openxmlformats.org/officeDocument/2006/relationships/hyperlink" Target="https://twitter.com/oscarfuente" TargetMode="External"/><Relationship Id="rId290" Type="http://schemas.openxmlformats.org/officeDocument/2006/relationships/hyperlink" Target="https://www.linkedin.com/in/mariaechavarritoda/" TargetMode="External"/><Relationship Id="rId304" Type="http://schemas.openxmlformats.org/officeDocument/2006/relationships/hyperlink" Target="https://www.linkedin.com/in/manuel-muniz-morell/" TargetMode="External"/><Relationship Id="rId346" Type="http://schemas.openxmlformats.org/officeDocument/2006/relationships/hyperlink" Target="mailto:diego@ballesteros.com" TargetMode="External"/><Relationship Id="rId85" Type="http://schemas.openxmlformats.org/officeDocument/2006/relationships/hyperlink" Target="https://es.linkedin.com/in/didaclee" TargetMode="External"/><Relationship Id="rId150" Type="http://schemas.openxmlformats.org/officeDocument/2006/relationships/hyperlink" Target="https://www.linkedin.com/in/patriciacasadofdezdecarranza/?originalSubdomain=es" TargetMode="External"/><Relationship Id="rId192" Type="http://schemas.openxmlformats.org/officeDocument/2006/relationships/hyperlink" Target="https://www.linkedin.com/in/sebchartier/" TargetMode="External"/><Relationship Id="rId206" Type="http://schemas.openxmlformats.org/officeDocument/2006/relationships/hyperlink" Target="https://www.linkedin.com/in/steven-zitzer-319901/" TargetMode="External"/><Relationship Id="rId248" Type="http://schemas.openxmlformats.org/officeDocument/2006/relationships/hyperlink" Target="https://www.linkedin.com/in/francesc-duarri-6572a6b/" TargetMode="External"/><Relationship Id="rId12" Type="http://schemas.openxmlformats.org/officeDocument/2006/relationships/hyperlink" Target="https://www.accelgrow.com/accel-grow-ventures/" TargetMode="External"/><Relationship Id="rId108" Type="http://schemas.openxmlformats.org/officeDocument/2006/relationships/hyperlink" Target="https://es.linkedin.com/in/fderbaix" TargetMode="External"/><Relationship Id="rId315" Type="http://schemas.openxmlformats.org/officeDocument/2006/relationships/hyperlink" Target="https://www.linkedin.com/in/lauraurquizu/" TargetMode="External"/><Relationship Id="rId357" Type="http://schemas.openxmlformats.org/officeDocument/2006/relationships/hyperlink" Target="https://www.linkedin.com/in/janbrinckmann/" TargetMode="External"/><Relationship Id="rId54" Type="http://schemas.openxmlformats.org/officeDocument/2006/relationships/hyperlink" Target="https://www.linkedin.com/in/andresbou/" TargetMode="External"/><Relationship Id="rId96" Type="http://schemas.openxmlformats.org/officeDocument/2006/relationships/hyperlink" Target="https://draperb1.vc/" TargetMode="External"/><Relationship Id="rId161" Type="http://schemas.openxmlformats.org/officeDocument/2006/relationships/hyperlink" Target="https://www.linkedin.com/in/perevalles/?originalSubdomain=es" TargetMode="External"/><Relationship Id="rId217" Type="http://schemas.openxmlformats.org/officeDocument/2006/relationships/hyperlink" Target="https://www.linkedin.com/in/tomasguillenifedes/" TargetMode="External"/><Relationship Id="rId259" Type="http://schemas.openxmlformats.org/officeDocument/2006/relationships/hyperlink" Target="http://lanzame.es/" TargetMode="External"/><Relationship Id="rId23" Type="http://schemas.openxmlformats.org/officeDocument/2006/relationships/hyperlink" Target="https://www.linkedin.com/in/albertcolomer/" TargetMode="External"/><Relationship Id="rId119" Type="http://schemas.openxmlformats.org/officeDocument/2006/relationships/hyperlink" Target="https://www.linkedin.com/in/janbrinckmann/" TargetMode="External"/><Relationship Id="rId270" Type="http://schemas.openxmlformats.org/officeDocument/2006/relationships/hyperlink" Target="https://es.linkedin.com/in/miguel-vicente-5348358" TargetMode="External"/><Relationship Id="rId326" Type="http://schemas.openxmlformats.org/officeDocument/2006/relationships/hyperlink" Target="mailto:alex@marsbased.com" TargetMode="External"/><Relationship Id="rId65" Type="http://schemas.openxmlformats.org/officeDocument/2006/relationships/hyperlink" Target="https://www.linkedin.com/in/bernardohernandez" TargetMode="External"/><Relationship Id="rId130" Type="http://schemas.openxmlformats.org/officeDocument/2006/relationships/hyperlink" Target="https://www.blogdeemprendedores.com/" TargetMode="External"/><Relationship Id="rId172" Type="http://schemas.openxmlformats.org/officeDocument/2006/relationships/hyperlink" Target="https://www.reuscapitalpartners.com/criteriosinversion" TargetMode="External"/><Relationship Id="rId228" Type="http://schemas.openxmlformats.org/officeDocument/2006/relationships/hyperlink" Target="https://www.linkedin.com/in/victoria-majadas-morales-2179b74/?originalSubdomain=es" TargetMode="External"/><Relationship Id="rId281" Type="http://schemas.openxmlformats.org/officeDocument/2006/relationships/hyperlink" Target="https://twitter.com/martimanent" TargetMode="External"/><Relationship Id="rId337" Type="http://schemas.openxmlformats.org/officeDocument/2006/relationships/hyperlink" Target="mailto:carlos@securitize.io" TargetMode="External"/><Relationship Id="rId34" Type="http://schemas.openxmlformats.org/officeDocument/2006/relationships/hyperlink" Target="https://twitter.com/albertoknapp" TargetMode="External"/><Relationship Id="rId76" Type="http://schemas.openxmlformats.org/officeDocument/2006/relationships/hyperlink" Target="https://coreangels.com/angel-groups/madrid" TargetMode="External"/><Relationship Id="rId141" Type="http://schemas.openxmlformats.org/officeDocument/2006/relationships/hyperlink" Target="https://www.linkedin.com/in/pablocarrallo/" TargetMode="External"/><Relationship Id="rId7" Type="http://schemas.openxmlformats.org/officeDocument/2006/relationships/hyperlink" Target="https://www.linkedin.com/in/ramon-oll%C3%A9-346a946/" TargetMode="External"/><Relationship Id="rId183" Type="http://schemas.openxmlformats.org/officeDocument/2006/relationships/hyperlink" Target="https://www.linkedin.com/in/rogerbaranera/" TargetMode="External"/><Relationship Id="rId239" Type="http://schemas.openxmlformats.org/officeDocument/2006/relationships/hyperlink" Target="https://es.linkedin.com/in/yago-arbeloa-2448623" TargetMode="External"/><Relationship Id="rId250" Type="http://schemas.openxmlformats.org/officeDocument/2006/relationships/hyperlink" Target="https://www.linkedin.com/in/javiermegiasterol/" TargetMode="External"/><Relationship Id="rId292" Type="http://schemas.openxmlformats.org/officeDocument/2006/relationships/hyperlink" Target="https://uk.linkedin.com/in/marekfodor" TargetMode="External"/><Relationship Id="rId306" Type="http://schemas.openxmlformats.org/officeDocument/2006/relationships/hyperlink" Target="http://www.makingideasbusiness.com/cuentanos-tu-idea/" TargetMode="External"/><Relationship Id="rId45" Type="http://schemas.openxmlformats.org/officeDocument/2006/relationships/hyperlink" Target="https://twitter.com/dantart" TargetMode="External"/><Relationship Id="rId87" Type="http://schemas.openxmlformats.org/officeDocument/2006/relationships/hyperlink" Target="http://www.diegoballesteros.com/" TargetMode="External"/><Relationship Id="rId110" Type="http://schemas.openxmlformats.org/officeDocument/2006/relationships/hyperlink" Target="http://www.icf.cat/es/qui-som/grup-icf/icf-capital/" TargetMode="External"/><Relationship Id="rId348" Type="http://schemas.openxmlformats.org/officeDocument/2006/relationships/hyperlink" Target="mailto:info@dozeninvestments.com" TargetMode="External"/><Relationship Id="rId152" Type="http://schemas.openxmlformats.org/officeDocument/2006/relationships/hyperlink" Target="https://www.linkedin.com/in/patriciohunt/" TargetMode="External"/><Relationship Id="rId194" Type="http://schemas.openxmlformats.org/officeDocument/2006/relationships/hyperlink" Target="https://www.linkedin.com/in/sergi-vila-costa-825872108/" TargetMode="External"/><Relationship Id="rId208" Type="http://schemas.openxmlformats.org/officeDocument/2006/relationships/hyperlink" Target="https://www.linkedin.com/in/telmo-perez-luaces/" TargetMode="External"/><Relationship Id="rId261" Type="http://schemas.openxmlformats.org/officeDocument/2006/relationships/hyperlink" Target="https://www.kfund.vc/kfounders" TargetMode="External"/><Relationship Id="rId14" Type="http://schemas.openxmlformats.org/officeDocument/2006/relationships/hyperlink" Target="https://www.linkedin.com/in/adrianafreitas/" TargetMode="External"/><Relationship Id="rId56" Type="http://schemas.openxmlformats.org/officeDocument/2006/relationships/hyperlink" Target="https://lantacapital.com/" TargetMode="External"/><Relationship Id="rId317" Type="http://schemas.openxmlformats.org/officeDocument/2006/relationships/hyperlink" Target="http://www.keith.vc/filosofia/" TargetMode="External"/><Relationship Id="rId359" Type="http://schemas.openxmlformats.org/officeDocument/2006/relationships/drawing" Target="../drawings/drawing2.xml"/><Relationship Id="rId98" Type="http://schemas.openxmlformats.org/officeDocument/2006/relationships/hyperlink" Target="https://www.linkedin.com/in/elenagomezdelpozuelo/?originalSubdomain=es" TargetMode="External"/><Relationship Id="rId121" Type="http://schemas.openxmlformats.org/officeDocument/2006/relationships/hyperlink" Target="https://www.linkedin.com/in/javierandresmarin/" TargetMode="External"/><Relationship Id="rId163" Type="http://schemas.openxmlformats.org/officeDocument/2006/relationships/hyperlink" Target="https://www.plugandplaytechcenter.com/ventures/" TargetMode="External"/><Relationship Id="rId219" Type="http://schemas.openxmlformats.org/officeDocument/2006/relationships/hyperlink" Target="https://www.linkedin.com/in/tomasmendo/" TargetMode="External"/><Relationship Id="rId230" Type="http://schemas.openxmlformats.org/officeDocument/2006/relationships/hyperlink" Target="https://es.linkedin.com/in/vincentrosso" TargetMode="External"/><Relationship Id="rId25" Type="http://schemas.openxmlformats.org/officeDocument/2006/relationships/hyperlink" Target="https://twitter.com/albertfeliu" TargetMode="External"/><Relationship Id="rId46" Type="http://schemas.openxmlformats.org/officeDocument/2006/relationships/hyperlink" Target="https://calendly.com/dantart" TargetMode="External"/><Relationship Id="rId67" Type="http://schemas.openxmlformats.org/officeDocument/2006/relationships/hyperlink" Target="https://twitter.com/carlosblanco" TargetMode="External"/><Relationship Id="rId272" Type="http://schemas.openxmlformats.org/officeDocument/2006/relationships/hyperlink" Target="https://www.linkedin.com/in/miguel-eguizabal-abad/" TargetMode="External"/><Relationship Id="rId293" Type="http://schemas.openxmlformats.org/officeDocument/2006/relationships/hyperlink" Target="https://www.linkedin.com/in/marcos-cabezon-5664622/" TargetMode="External"/><Relationship Id="rId307" Type="http://schemas.openxmlformats.org/officeDocument/2006/relationships/hyperlink" Target="https://twitter.com/luismcabiedes" TargetMode="External"/><Relationship Id="rId328" Type="http://schemas.openxmlformats.org/officeDocument/2006/relationships/hyperlink" Target="mailto:andreas@mihalovits.com" TargetMode="External"/><Relationship Id="rId349" Type="http://schemas.openxmlformats.org/officeDocument/2006/relationships/hyperlink" Target="mailto:info@draperb1.vc" TargetMode="External"/><Relationship Id="rId88" Type="http://schemas.openxmlformats.org/officeDocument/2006/relationships/hyperlink" Target="http://www.diegoballesteros.com/" TargetMode="External"/><Relationship Id="rId111" Type="http://schemas.openxmlformats.org/officeDocument/2006/relationships/hyperlink" Target="https://www.linkedin.com/in/juanalvarezdelara/" TargetMode="External"/><Relationship Id="rId132" Type="http://schemas.openxmlformats.org/officeDocument/2006/relationships/hyperlink" Target="https://unitatea.com/investment.html" TargetMode="External"/><Relationship Id="rId153" Type="http://schemas.openxmlformats.org/officeDocument/2006/relationships/hyperlink" Target="https://twitter.com/patriciohunt" TargetMode="External"/><Relationship Id="rId174" Type="http://schemas.openxmlformats.org/officeDocument/2006/relationships/hyperlink" Target="https://www.linkedin.com/in/ricardo-fernandez-muinos/" TargetMode="External"/><Relationship Id="rId195" Type="http://schemas.openxmlformats.org/officeDocument/2006/relationships/hyperlink" Target="https://bcombinator.com/es/fondo-inversion" TargetMode="External"/><Relationship Id="rId209" Type="http://schemas.openxmlformats.org/officeDocument/2006/relationships/hyperlink" Target="https://www.linkedin.com/in/teresa-dominguez-/" TargetMode="External"/><Relationship Id="rId220" Type="http://schemas.openxmlformats.org/officeDocument/2006/relationships/hyperlink" Target="https://top5partners.com/" TargetMode="External"/><Relationship Id="rId241" Type="http://schemas.openxmlformats.org/officeDocument/2006/relationships/hyperlink" Target="https://www.viriditas.es/" TargetMode="External"/><Relationship Id="rId15" Type="http://schemas.openxmlformats.org/officeDocument/2006/relationships/hyperlink" Target="http://alantis.es/" TargetMode="External"/><Relationship Id="rId36" Type="http://schemas.openxmlformats.org/officeDocument/2006/relationships/hyperlink" Target="https://twitter.com/aledeleonmoreno" TargetMode="External"/><Relationship Id="rId57" Type="http://schemas.openxmlformats.org/officeDocument/2006/relationships/hyperlink" Target="https://www.angelscapital.es/empresas/" TargetMode="External"/><Relationship Id="rId262" Type="http://schemas.openxmlformats.org/officeDocument/2006/relationships/hyperlink" Target="https://es.linkedin.com/in/marcosalvescardoso" TargetMode="External"/><Relationship Id="rId283" Type="http://schemas.openxmlformats.org/officeDocument/2006/relationships/hyperlink" Target="https://www.linkedin.com/in/martaesteve/" TargetMode="External"/><Relationship Id="rId318" Type="http://schemas.openxmlformats.org/officeDocument/2006/relationships/hyperlink" Target="http://aiei.es/index.html" TargetMode="External"/><Relationship Id="rId339" Type="http://schemas.openxmlformats.org/officeDocument/2006/relationships/hyperlink" Target="mailto:madrid@coreangels.com" TargetMode="External"/><Relationship Id="rId78" Type="http://schemas.openxmlformats.org/officeDocument/2006/relationships/hyperlink" Target="https://www.linkedin.com/in/databoas/" TargetMode="External"/><Relationship Id="rId99" Type="http://schemas.openxmlformats.org/officeDocument/2006/relationships/hyperlink" Target="https://www.linkedin.com/in/elenagomezdelpozuelo/?originalSubdomain=es" TargetMode="External"/><Relationship Id="rId101" Type="http://schemas.openxmlformats.org/officeDocument/2006/relationships/hyperlink" Target="https://angel.co/elies" TargetMode="External"/><Relationship Id="rId122" Type="http://schemas.openxmlformats.org/officeDocument/2006/relationships/hyperlink" Target="https://twitter.com/javier_andres" TargetMode="External"/><Relationship Id="rId143" Type="http://schemas.openxmlformats.org/officeDocument/2006/relationships/hyperlink" Target="https://twitter.com/tibjazz" TargetMode="External"/><Relationship Id="rId164" Type="http://schemas.openxmlformats.org/officeDocument/2006/relationships/hyperlink" Target="https://www.linkedin.com/in/rafagarrido/" TargetMode="External"/><Relationship Id="rId185" Type="http://schemas.openxmlformats.org/officeDocument/2006/relationships/hyperlink" Target="https://www.linkedin.com/in/rogermiralles/" TargetMode="External"/><Relationship Id="rId350" Type="http://schemas.openxmlformats.org/officeDocument/2006/relationships/hyperlink" Target="mailto:info@easoventures.com" TargetMode="External"/><Relationship Id="rId9" Type="http://schemas.openxmlformats.org/officeDocument/2006/relationships/hyperlink" Target="https://www.linkedin.com/in/madelman/" TargetMode="External"/><Relationship Id="rId210" Type="http://schemas.openxmlformats.org/officeDocument/2006/relationships/hyperlink" Target="http://www.thcap.com/" TargetMode="External"/><Relationship Id="rId26" Type="http://schemas.openxmlformats.org/officeDocument/2006/relationships/hyperlink" Target="https://www.linkedin.com/in/albertmorcillo/" TargetMode="External"/><Relationship Id="rId231" Type="http://schemas.openxmlformats.org/officeDocument/2006/relationships/hyperlink" Target="https://es.linkedin.com/in/vincentrosso" TargetMode="External"/><Relationship Id="rId252" Type="http://schemas.openxmlformats.org/officeDocument/2006/relationships/hyperlink" Target="http://emprenderagolpes.com/" TargetMode="External"/><Relationship Id="rId273" Type="http://schemas.openxmlformats.org/officeDocument/2006/relationships/hyperlink" Target="https://twitter.com/mike_arias" TargetMode="External"/><Relationship Id="rId294" Type="http://schemas.openxmlformats.org/officeDocument/2006/relationships/hyperlink" Target="https://twitter.com/malvescardoso" TargetMode="External"/><Relationship Id="rId308" Type="http://schemas.openxmlformats.org/officeDocument/2006/relationships/hyperlink" Target="https://www.linkedin.com/in/luismartincabiedes/?locale=es_ES" TargetMode="External"/><Relationship Id="rId329" Type="http://schemas.openxmlformats.org/officeDocument/2006/relationships/hyperlink" Target="mailto:andres@bou.com" TargetMode="External"/><Relationship Id="rId47" Type="http://schemas.openxmlformats.org/officeDocument/2006/relationships/hyperlink" Target="https://www.linkedin.com/in/alexrodba/" TargetMode="External"/><Relationship Id="rId68" Type="http://schemas.openxmlformats.org/officeDocument/2006/relationships/hyperlink" Target="https://ae.linkedin.com/in/carlosdomingo" TargetMode="External"/><Relationship Id="rId89" Type="http://schemas.openxmlformats.org/officeDocument/2006/relationships/hyperlink" Target="https://twitter.com/diegoteca" TargetMode="External"/><Relationship Id="rId112" Type="http://schemas.openxmlformats.org/officeDocument/2006/relationships/hyperlink" Target="http://alumni.iefweb.org/networking/ief-angels-network/" TargetMode="External"/><Relationship Id="rId133" Type="http://schemas.openxmlformats.org/officeDocument/2006/relationships/hyperlink" Target="http://www.kapita.io/" TargetMode="External"/><Relationship Id="rId154" Type="http://schemas.openxmlformats.org/officeDocument/2006/relationships/hyperlink" Target="https://intelectium.com/ventures/" TargetMode="External"/><Relationship Id="rId175" Type="http://schemas.openxmlformats.org/officeDocument/2006/relationships/hyperlink" Target="https://www.linkedin.com/in/robertosaintmalo/" TargetMode="External"/><Relationship Id="rId340" Type="http://schemas.openxmlformats.org/officeDocument/2006/relationships/hyperlink" Target="mailto:info@cupidocapital.com" TargetMode="External"/><Relationship Id="rId196" Type="http://schemas.openxmlformats.org/officeDocument/2006/relationships/hyperlink" Target="https://www.linkedin.com/in/sergiobalcellsm/" TargetMode="External"/><Relationship Id="rId200" Type="http://schemas.openxmlformats.org/officeDocument/2006/relationships/hyperlink" Target="https://sevenzonic.com/queremos-tu-proyecto/" TargetMode="External"/><Relationship Id="rId16" Type="http://schemas.openxmlformats.org/officeDocument/2006/relationships/hyperlink" Target="https://es.linkedin.com/in/albertarmengol" TargetMode="External"/><Relationship Id="rId221" Type="http://schemas.openxmlformats.org/officeDocument/2006/relationships/hyperlink" Target="https://www.toubkalpartners.com/quienes-somos.html" TargetMode="External"/><Relationship Id="rId242" Type="http://schemas.openxmlformats.org/officeDocument/2006/relationships/hyperlink" Target="https://www.linkedin.com/in/zaryn/" TargetMode="External"/><Relationship Id="rId263" Type="http://schemas.openxmlformats.org/officeDocument/2006/relationships/hyperlink" Target="https://uk.linkedin.com/in/marekfodor" TargetMode="External"/><Relationship Id="rId284" Type="http://schemas.openxmlformats.org/officeDocument/2006/relationships/hyperlink" Target="https://www.linkedin.com/in/markus-kopka/" TargetMode="External"/><Relationship Id="rId319" Type="http://schemas.openxmlformats.org/officeDocument/2006/relationships/hyperlink" Target="mailto:contact@albertoknapp.com" TargetMode="External"/><Relationship Id="rId37" Type="http://schemas.openxmlformats.org/officeDocument/2006/relationships/hyperlink" Target="https://www.linkedin.com/in/alejandro-su%C3%A1rez-sanchez-oca%C3%B1a-62375aa/" TargetMode="External"/><Relationship Id="rId58" Type="http://schemas.openxmlformats.org/officeDocument/2006/relationships/hyperlink" Target="https://www.linkedin.com/in/angelsroqueta-asesoramiento-estrategico-inversion-consejera-profesora-businessangel/" TargetMode="External"/><Relationship Id="rId79" Type="http://schemas.openxmlformats.org/officeDocument/2006/relationships/hyperlink" Target="https://www.linkedin.com/in/dcarrero/" TargetMode="External"/><Relationship Id="rId102" Type="http://schemas.openxmlformats.org/officeDocument/2006/relationships/hyperlink" Target="https://www.linkedin.com/in/enekoknorr" TargetMode="External"/><Relationship Id="rId123" Type="http://schemas.openxmlformats.org/officeDocument/2006/relationships/hyperlink" Target="https://www.linkedin.com/in/fesja/" TargetMode="External"/><Relationship Id="rId144" Type="http://schemas.openxmlformats.org/officeDocument/2006/relationships/hyperlink" Target="https://www.linkedin.com/in/pabloszefner/" TargetMode="External"/><Relationship Id="rId330" Type="http://schemas.openxmlformats.org/officeDocument/2006/relationships/hyperlink" Target="mailto:angel@lantacapital.com" TargetMode="External"/><Relationship Id="rId90" Type="http://schemas.openxmlformats.org/officeDocument/2006/relationships/hyperlink" Target="https://ancla.life/" TargetMode="External"/><Relationship Id="rId165" Type="http://schemas.openxmlformats.org/officeDocument/2006/relationships/hyperlink" Target="https://twitter.com/rafaelgarrido" TargetMode="External"/><Relationship Id="rId186" Type="http://schemas.openxmlformats.org/officeDocument/2006/relationships/hyperlink" Target="https://www.linkedin.com/in/roman-bertran-vi%C3%B1as-ab485a1b/" TargetMode="External"/><Relationship Id="rId351" Type="http://schemas.openxmlformats.org/officeDocument/2006/relationships/hyperlink" Target="mailto:elena@gomezdelpozuelo.com" TargetMode="External"/><Relationship Id="rId211" Type="http://schemas.openxmlformats.org/officeDocument/2006/relationships/hyperlink" Target="https://theventure.city/es/primer-ticket/" TargetMode="External"/><Relationship Id="rId232" Type="http://schemas.openxmlformats.org/officeDocument/2006/relationships/hyperlink" Target="https://twitter.com/vincentjj" TargetMode="External"/><Relationship Id="rId253" Type="http://schemas.openxmlformats.org/officeDocument/2006/relationships/hyperlink" Target="https://www.mercurius-investment.vc/" TargetMode="External"/><Relationship Id="rId274" Type="http://schemas.openxmlformats.org/officeDocument/2006/relationships/hyperlink" Target="https://www.linkedin.com/in/miguelarias/" TargetMode="External"/><Relationship Id="rId295" Type="http://schemas.openxmlformats.org/officeDocument/2006/relationships/hyperlink" Target="https://es.linkedin.com/in/marcosalvescardoso" TargetMode="External"/><Relationship Id="rId309" Type="http://schemas.openxmlformats.org/officeDocument/2006/relationships/hyperlink" Target="https://www.linkedin.com/in/luis-gutierrez-roy-9323305/?originalSubdomain=es" TargetMode="External"/><Relationship Id="rId27" Type="http://schemas.openxmlformats.org/officeDocument/2006/relationships/hyperlink" Target="https://www.linkedin.com/in/albertribera/" TargetMode="External"/><Relationship Id="rId48" Type="http://schemas.openxmlformats.org/officeDocument/2006/relationships/hyperlink" Target="https://www.linkedin.com/in/alexrodba/" TargetMode="External"/><Relationship Id="rId69" Type="http://schemas.openxmlformats.org/officeDocument/2006/relationships/hyperlink" Target="https://ae.linkedin.com/in/carlosdomingo" TargetMode="External"/><Relationship Id="rId113" Type="http://schemas.openxmlformats.org/officeDocument/2006/relationships/hyperlink" Target="https://www.iese.edu/entrepreneurship/business-angels/" TargetMode="External"/><Relationship Id="rId134" Type="http://schemas.openxmlformats.org/officeDocument/2006/relationships/hyperlink" Target="https://www.linkedin.com/in/nicobour/" TargetMode="External"/><Relationship Id="rId320" Type="http://schemas.openxmlformats.org/officeDocument/2006/relationships/hyperlink" Target="mailto:alex@bki.es" TargetMode="External"/><Relationship Id="rId80" Type="http://schemas.openxmlformats.org/officeDocument/2006/relationships/hyperlink" Target="https://www.linkedin.com/in/druizdeandres/?originalSubdomain=es" TargetMode="External"/><Relationship Id="rId155" Type="http://schemas.openxmlformats.org/officeDocument/2006/relationships/hyperlink" Target="https://www.linkedin.com/in/pedro-anton-ned-consejero-cfo/" TargetMode="External"/><Relationship Id="rId176" Type="http://schemas.openxmlformats.org/officeDocument/2006/relationships/hyperlink" Target="https://beta-angels.com/" TargetMode="External"/><Relationship Id="rId197" Type="http://schemas.openxmlformats.org/officeDocument/2006/relationships/hyperlink" Target="https://www.linkedin.com/in/sergiocortesabad/" TargetMode="External"/><Relationship Id="rId341" Type="http://schemas.openxmlformats.org/officeDocument/2006/relationships/hyperlink" Target="mailto:daniel@taboas.com" TargetMode="External"/><Relationship Id="rId201" Type="http://schemas.openxmlformats.org/officeDocument/2006/relationships/hyperlink" Target="https://www.linkedin.com/in/silviacarnemasllorens/" TargetMode="External"/><Relationship Id="rId222" Type="http://schemas.openxmlformats.org/officeDocument/2006/relationships/hyperlink" Target="https://turtle-capital.com/" TargetMode="External"/><Relationship Id="rId243" Type="http://schemas.openxmlformats.org/officeDocument/2006/relationships/hyperlink" Target="https://www.linkedin.com/in/zaryn/" TargetMode="External"/><Relationship Id="rId264" Type="http://schemas.openxmlformats.org/officeDocument/2006/relationships/hyperlink" Target="https://www.linkedin.com/in/martinvarsavsky" TargetMode="External"/><Relationship Id="rId285" Type="http://schemas.openxmlformats.org/officeDocument/2006/relationships/hyperlink" Target="https://www.linkedin.com/in/marioundanet/" TargetMode="External"/><Relationship Id="rId17" Type="http://schemas.openxmlformats.org/officeDocument/2006/relationships/hyperlink" Target="https://es.linkedin.com/in/albertarmengol" TargetMode="External"/><Relationship Id="rId38" Type="http://schemas.openxmlformats.org/officeDocument/2006/relationships/hyperlink" Target="https://twitter.com/alejandrosuarez" TargetMode="External"/><Relationship Id="rId59" Type="http://schemas.openxmlformats.org/officeDocument/2006/relationships/hyperlink" Target="https://twitter.com/AngelsRoqueta" TargetMode="External"/><Relationship Id="rId103" Type="http://schemas.openxmlformats.org/officeDocument/2006/relationships/hyperlink" Target="https://www.linkedin.com/in/enekoknorr" TargetMode="External"/><Relationship Id="rId124" Type="http://schemas.openxmlformats.org/officeDocument/2006/relationships/hyperlink" Target="https://www.linkedin.com/in/javier-llorente-moral-a6ab9913b/" TargetMode="External"/><Relationship Id="rId310" Type="http://schemas.openxmlformats.org/officeDocument/2006/relationships/hyperlink" Target="https://www.linkedin.com/in/luis-bonell-64a71034/" TargetMode="External"/><Relationship Id="rId70" Type="http://schemas.openxmlformats.org/officeDocument/2006/relationships/hyperlink" Target="https://twitter.com/carlosdomingo" TargetMode="External"/><Relationship Id="rId91" Type="http://schemas.openxmlformats.org/officeDocument/2006/relationships/hyperlink" Target="https://www.linkedin.com/in/diegomarino/" TargetMode="External"/><Relationship Id="rId145" Type="http://schemas.openxmlformats.org/officeDocument/2006/relationships/hyperlink" Target="https://twitter.com/tibjazz" TargetMode="External"/><Relationship Id="rId166" Type="http://schemas.openxmlformats.org/officeDocument/2006/relationships/hyperlink" Target="http://vitaminak.com/" TargetMode="External"/><Relationship Id="rId187" Type="http://schemas.openxmlformats.org/officeDocument/2006/relationships/hyperlink" Target="https://www.linkedin.com/in/rubenferreiro/" TargetMode="External"/><Relationship Id="rId331" Type="http://schemas.openxmlformats.org/officeDocument/2006/relationships/hyperlink" Target="mailto:info@angelscapital.es" TargetMode="External"/><Relationship Id="rId352" Type="http://schemas.openxmlformats.org/officeDocument/2006/relationships/hyperlink" Target="mailto:elies@campo.com" TargetMode="External"/><Relationship Id="rId1" Type="http://schemas.openxmlformats.org/officeDocument/2006/relationships/hyperlink" Target="https://www.linkedin.com/company/verm%C3%BA" TargetMode="External"/><Relationship Id="rId212" Type="http://schemas.openxmlformats.org/officeDocument/2006/relationships/hyperlink" Target="https://www.linkedin.com/in/tomhorsey/" TargetMode="External"/><Relationship Id="rId233" Type="http://schemas.openxmlformats.org/officeDocument/2006/relationships/hyperlink" Target="https://www.linkedin.com/in/kobylanski/" TargetMode="External"/><Relationship Id="rId254" Type="http://schemas.openxmlformats.org/officeDocument/2006/relationships/hyperlink" Target="https://elreferente.es/actualidad/antai-venture-builder-lanza-el-primer-fondo-de-media-for-equity-con-activos-publicitarios-en-redes-sociales-y-plataformas-digitales/" TargetMode="External"/><Relationship Id="rId28" Type="http://schemas.openxmlformats.org/officeDocument/2006/relationships/hyperlink" Target="https://www.linkedin.com/in/albertribera/" TargetMode="External"/><Relationship Id="rId49" Type="http://schemas.openxmlformats.org/officeDocument/2006/relationships/hyperlink" Target="https://www.startupgrind.com/" TargetMode="External"/><Relationship Id="rId114" Type="http://schemas.openxmlformats.org/officeDocument/2006/relationships/hyperlink" Target="https://www.linkedin.com/in/ignaciomayoldetord/" TargetMode="External"/><Relationship Id="rId275" Type="http://schemas.openxmlformats.org/officeDocument/2006/relationships/hyperlink" Target="https://www.linkedin.com/in/tovar/" TargetMode="External"/><Relationship Id="rId296" Type="http://schemas.openxmlformats.org/officeDocument/2006/relationships/hyperlink" Target="https://twitter.com/mvicente" TargetMode="External"/><Relationship Id="rId300" Type="http://schemas.openxmlformats.org/officeDocument/2006/relationships/hyperlink" Target="https://www.linkedin.com/in/marc-ingla-65b227/" TargetMode="External"/><Relationship Id="rId60" Type="http://schemas.openxmlformats.org/officeDocument/2006/relationships/hyperlink" Target="https://www.linkedin.com/in/antonio-cantalapiedra-asensio-3076851/" TargetMode="External"/><Relationship Id="rId81" Type="http://schemas.openxmlformats.org/officeDocument/2006/relationships/hyperlink" Target="https://twitter.com/druizdeandres" TargetMode="External"/><Relationship Id="rId135" Type="http://schemas.openxmlformats.org/officeDocument/2006/relationships/hyperlink" Target="http://onacapital.com/?lang=es" TargetMode="External"/><Relationship Id="rId156" Type="http://schemas.openxmlformats.org/officeDocument/2006/relationships/hyperlink" Target="https://www.linkedin.com/in/pedro-de-%C3%A1lava-2127244/" TargetMode="External"/><Relationship Id="rId177" Type="http://schemas.openxmlformats.org/officeDocument/2006/relationships/hyperlink" Target="https://www.linkedin.com/in/rodolfocarpintier/" TargetMode="External"/><Relationship Id="rId198" Type="http://schemas.openxmlformats.org/officeDocument/2006/relationships/hyperlink" Target="https://twitter.com/SergioCortes" TargetMode="External"/><Relationship Id="rId321" Type="http://schemas.openxmlformats.org/officeDocument/2006/relationships/hyperlink" Target="mailto:dantart@gmail.com" TargetMode="External"/><Relationship Id="rId342" Type="http://schemas.openxmlformats.org/officeDocument/2006/relationships/hyperlink" Target="mailto:david@carrero.com" TargetMode="External"/><Relationship Id="rId202" Type="http://schemas.openxmlformats.org/officeDocument/2006/relationships/hyperlink" Target="https://sitkacapital.com/" TargetMode="External"/><Relationship Id="rId223" Type="http://schemas.openxmlformats.org/officeDocument/2006/relationships/hyperlink" Target="https://vas.ventures/" TargetMode="External"/><Relationship Id="rId244" Type="http://schemas.openxmlformats.org/officeDocument/2006/relationships/hyperlink" Target="https://twitter.com/zaryn" TargetMode="External"/><Relationship Id="rId18" Type="http://schemas.openxmlformats.org/officeDocument/2006/relationships/hyperlink" Target="https://twitter.com/albertarmengol" TargetMode="External"/><Relationship Id="rId39" Type="http://schemas.openxmlformats.org/officeDocument/2006/relationships/hyperlink" Target="https://twitter.com/alexbki" TargetMode="External"/><Relationship Id="rId265" Type="http://schemas.openxmlformats.org/officeDocument/2006/relationships/hyperlink" Target="https://www.linkedin.com/in/miguelarias/" TargetMode="External"/><Relationship Id="rId286" Type="http://schemas.openxmlformats.org/officeDocument/2006/relationships/hyperlink" Target="https://www.linkedin.com/in/mariobrueggemann/" TargetMode="External"/><Relationship Id="rId50" Type="http://schemas.openxmlformats.org/officeDocument/2006/relationships/hyperlink" Target="https://www.linkedin.com/in/andoni-alfaro-8332572/" TargetMode="External"/><Relationship Id="rId104" Type="http://schemas.openxmlformats.org/officeDocument/2006/relationships/hyperlink" Target="https://www.angelclub.es/" TargetMode="External"/><Relationship Id="rId125" Type="http://schemas.openxmlformats.org/officeDocument/2006/relationships/hyperlink" Target="https://twitter.com/jesusencinar?lang=es" TargetMode="External"/><Relationship Id="rId146" Type="http://schemas.openxmlformats.org/officeDocument/2006/relationships/hyperlink" Target="https://www.linkedin.com/in/pablo-zubicaray-01866a/?originalSubdomain=es" TargetMode="External"/><Relationship Id="rId167" Type="http://schemas.openxmlformats.org/officeDocument/2006/relationships/hyperlink" Target="https://www.linkedin.com/in/ragor/" TargetMode="External"/><Relationship Id="rId188" Type="http://schemas.openxmlformats.org/officeDocument/2006/relationships/hyperlink" Target="https://twitter.com/rubenferreiro" TargetMode="External"/><Relationship Id="rId311" Type="http://schemas.openxmlformats.org/officeDocument/2006/relationships/hyperlink" Target="https://twitter.com/LDFleming" TargetMode="External"/><Relationship Id="rId332" Type="http://schemas.openxmlformats.org/officeDocument/2006/relationships/hyperlink" Target="mailto:angels@roqueta.com" TargetMode="External"/><Relationship Id="rId353" Type="http://schemas.openxmlformats.org/officeDocument/2006/relationships/hyperlink" Target="https://www.linkedin.com/in/adeyemiajao" TargetMode="External"/><Relationship Id="rId71" Type="http://schemas.openxmlformats.org/officeDocument/2006/relationships/hyperlink" Target="https://www.linkedin.com/in/carlos-pierre-88b15461/" TargetMode="External"/><Relationship Id="rId92" Type="http://schemas.openxmlformats.org/officeDocument/2006/relationships/hyperlink" Target="https://www.linkedin.com/in/diegomarino/" TargetMode="External"/><Relationship Id="rId213" Type="http://schemas.openxmlformats.org/officeDocument/2006/relationships/hyperlink" Target="https://www.linkedin.com/in/tomhorsey/" TargetMode="External"/><Relationship Id="rId234" Type="http://schemas.openxmlformats.org/officeDocument/2006/relationships/hyperlink" Target="https://twitter.com/walterk" TargetMode="External"/><Relationship Id="rId2" Type="http://schemas.openxmlformats.org/officeDocument/2006/relationships/hyperlink" Target="https://twitter.com/vermuio" TargetMode="External"/><Relationship Id="rId29" Type="http://schemas.openxmlformats.org/officeDocument/2006/relationships/hyperlink" Target="https://www.linkedin.com/in/abenbunan/" TargetMode="External"/><Relationship Id="rId255" Type="http://schemas.openxmlformats.org/officeDocument/2006/relationships/hyperlink" Target="http://martinvarsavsky.net/" TargetMode="External"/><Relationship Id="rId276" Type="http://schemas.openxmlformats.org/officeDocument/2006/relationships/hyperlink" Target="https://www.linkedin.com/in/miguelalvarezrey/" TargetMode="External"/><Relationship Id="rId297" Type="http://schemas.openxmlformats.org/officeDocument/2006/relationships/hyperlink" Target="https://www.linkedin.com/in/marcvicente/" TargetMode="External"/><Relationship Id="rId40" Type="http://schemas.openxmlformats.org/officeDocument/2006/relationships/hyperlink" Target="https://www.linkedin.com/in/alexbki/" TargetMode="External"/><Relationship Id="rId115" Type="http://schemas.openxmlformats.org/officeDocument/2006/relationships/hyperlink" Target="https://www.linkedin.com/in/ikermarcaide/" TargetMode="External"/><Relationship Id="rId136" Type="http://schemas.openxmlformats.org/officeDocument/2006/relationships/hyperlink" Target="https://es.linkedin.com/in/ojuncosa" TargetMode="External"/><Relationship Id="rId157" Type="http://schemas.openxmlformats.org/officeDocument/2006/relationships/hyperlink" Target="https://www.linkedin.com/in/pedrotrucharte/?originalSubdomain=es" TargetMode="External"/><Relationship Id="rId178" Type="http://schemas.openxmlformats.org/officeDocument/2006/relationships/hyperlink" Target="https://www.linkedin.com/in/rodrigogarciadelacruz/" TargetMode="External"/><Relationship Id="rId301" Type="http://schemas.openxmlformats.org/officeDocument/2006/relationships/hyperlink" Target="https://www.linkedin.com/in/marcedo/" TargetMode="External"/><Relationship Id="rId322" Type="http://schemas.openxmlformats.org/officeDocument/2006/relationships/hyperlink" Target="mailto:alberto@geltapp.com" TargetMode="External"/><Relationship Id="rId343" Type="http://schemas.openxmlformats.org/officeDocument/2006/relationships/hyperlink" Target="mailto:david@daruan.vc" TargetMode="External"/><Relationship Id="rId61" Type="http://schemas.openxmlformats.org/officeDocument/2006/relationships/hyperlink" Target="https://twitter.com/tonikant" TargetMode="External"/><Relationship Id="rId82" Type="http://schemas.openxmlformats.org/officeDocument/2006/relationships/hyperlink" Target="http://daruanvc.com/" TargetMode="External"/><Relationship Id="rId199" Type="http://schemas.openxmlformats.org/officeDocument/2006/relationships/hyperlink" Target="http://www.sergiocortes.es/" TargetMode="External"/><Relationship Id="rId203" Type="http://schemas.openxmlformats.org/officeDocument/2006/relationships/hyperlink" Target="https://www.linkedin.com/in/sixto/" TargetMode="External"/><Relationship Id="rId19" Type="http://schemas.openxmlformats.org/officeDocument/2006/relationships/hyperlink" Target="https://angel.co/p/albertarmengol" TargetMode="External"/><Relationship Id="rId224" Type="http://schemas.openxmlformats.org/officeDocument/2006/relationships/hyperlink" Target="https://www.linkedin.com/in/vicentearias/" TargetMode="External"/><Relationship Id="rId245" Type="http://schemas.openxmlformats.org/officeDocument/2006/relationships/hyperlink" Target="http://mola.com/" TargetMode="External"/><Relationship Id="rId266" Type="http://schemas.openxmlformats.org/officeDocument/2006/relationships/hyperlink" Target="https://es.linkedin.com/in/miguel-vicente-5348358" TargetMode="External"/><Relationship Id="rId287" Type="http://schemas.openxmlformats.org/officeDocument/2006/relationships/hyperlink" Target="https://www.linkedin.com/in/marialuisagarciag/" TargetMode="External"/><Relationship Id="rId30" Type="http://schemas.openxmlformats.org/officeDocument/2006/relationships/hyperlink" Target="https://www.linkedin.com/in/abenbunan/" TargetMode="External"/><Relationship Id="rId105" Type="http://schemas.openxmlformats.org/officeDocument/2006/relationships/hyperlink" Target="https://www.linkedin.com/in/enriquedubois/" TargetMode="External"/><Relationship Id="rId126" Type="http://schemas.openxmlformats.org/officeDocument/2006/relationships/hyperlink" Target="https://twitter.com/jesusencinar?lang=es" TargetMode="External"/><Relationship Id="rId147" Type="http://schemas.openxmlformats.org/officeDocument/2006/relationships/hyperlink" Target="https://www.linkedin.com/in/pacogimena/" TargetMode="External"/><Relationship Id="rId168" Type="http://schemas.openxmlformats.org/officeDocument/2006/relationships/hyperlink" Target="https://es.linkedin.com/in/renedejongspain" TargetMode="External"/><Relationship Id="rId312" Type="http://schemas.openxmlformats.org/officeDocument/2006/relationships/hyperlink" Target="https://www.linkedin.com/in/lizfleming/" TargetMode="External"/><Relationship Id="rId333" Type="http://schemas.openxmlformats.org/officeDocument/2006/relationships/hyperlink" Target="mailto:avi@travelperk.com" TargetMode="External"/><Relationship Id="rId354" Type="http://schemas.openxmlformats.org/officeDocument/2006/relationships/hyperlink" Target="https://www.linkedin.com/in/adeyemiajao" TargetMode="External"/><Relationship Id="rId51" Type="http://schemas.openxmlformats.org/officeDocument/2006/relationships/hyperlink" Target="https://www.linkedin.com/in/andreasmihalovits/" TargetMode="External"/><Relationship Id="rId72" Type="http://schemas.openxmlformats.org/officeDocument/2006/relationships/hyperlink" Target="https://www.linkedin.com/in/carlos-pierre-88b15461/" TargetMode="External"/><Relationship Id="rId93" Type="http://schemas.openxmlformats.org/officeDocument/2006/relationships/hyperlink" Target="https://twitter.com/diegomarino" TargetMode="External"/><Relationship Id="rId189" Type="http://schemas.openxmlformats.org/officeDocument/2006/relationships/hyperlink" Target="https://sabadellventurecapital.com/vc-01-es.html" TargetMode="External"/><Relationship Id="rId3" Type="http://schemas.openxmlformats.org/officeDocument/2006/relationships/hyperlink" Target="https://vermu.io/" TargetMode="External"/><Relationship Id="rId214" Type="http://schemas.openxmlformats.org/officeDocument/2006/relationships/hyperlink" Target="https://www.elespanol.com/invertia/disruptores-innovadores/opinion/20210520/tom-horsey-michael-robinson-angels-ultima-milla/582571738_13.html" TargetMode="External"/><Relationship Id="rId235" Type="http://schemas.openxmlformats.org/officeDocument/2006/relationships/hyperlink" Target="https://www.linkedin.com/in/xavier-rubiralta-1b753a5/?miniProfileUrn=urn%3Ali%3Afs_miniProfile%3AACoAAAD4A5sBpSTmgiCfLq7z_pNI7JbJ5MTc1Vo" TargetMode="External"/><Relationship Id="rId256" Type="http://schemas.openxmlformats.org/officeDocument/2006/relationships/hyperlink" Target="https://www.greatstuffventures.es/" TargetMode="External"/><Relationship Id="rId277" Type="http://schemas.openxmlformats.org/officeDocument/2006/relationships/hyperlink" Target="https://www.linkedin.com/in/michael-kappler/" TargetMode="External"/><Relationship Id="rId298" Type="http://schemas.openxmlformats.org/officeDocument/2006/relationships/hyperlink" Target="https://www.linkedin.com/in/marc-ros-78ba235/" TargetMode="External"/><Relationship Id="rId116" Type="http://schemas.openxmlformats.org/officeDocument/2006/relationships/hyperlink" Target="https://twitter.com/ikermarcaide" TargetMode="External"/><Relationship Id="rId137" Type="http://schemas.openxmlformats.org/officeDocument/2006/relationships/hyperlink" Target="https://es.linkedin.com/in/ojuncosa" TargetMode="External"/><Relationship Id="rId158" Type="http://schemas.openxmlformats.org/officeDocument/2006/relationships/hyperlink" Target="https://twitter.com/ptrucharte" TargetMode="External"/><Relationship Id="rId302" Type="http://schemas.openxmlformats.org/officeDocument/2006/relationships/hyperlink" Target="https://www.linkedin.com/in/marcborrellbemobile/" TargetMode="External"/><Relationship Id="rId323" Type="http://schemas.openxmlformats.org/officeDocument/2006/relationships/hyperlink" Target="mailto:info@4founderscapital.com" TargetMode="External"/><Relationship Id="rId344" Type="http://schemas.openxmlformats.org/officeDocument/2006/relationships/hyperlink" Target="mailto:david@tomas.com" TargetMode="External"/><Relationship Id="rId20" Type="http://schemas.openxmlformats.org/officeDocument/2006/relationships/hyperlink" Target="https://www.linkedin.com/in/albertobetella/" TargetMode="External"/><Relationship Id="rId41" Type="http://schemas.openxmlformats.org/officeDocument/2006/relationships/hyperlink" Target="https://twitter.com/alexbki" TargetMode="External"/><Relationship Id="rId62" Type="http://schemas.openxmlformats.org/officeDocument/2006/relationships/hyperlink" Target="https://www.linkedin.com/in/avimeir/" TargetMode="External"/><Relationship Id="rId83" Type="http://schemas.openxmlformats.org/officeDocument/2006/relationships/hyperlink" Target="https://es.linkedin.com/in/david-tomas-88529b" TargetMode="External"/><Relationship Id="rId179" Type="http://schemas.openxmlformats.org/officeDocument/2006/relationships/hyperlink" Target="https://twitter.com/rgarciadelacruz" TargetMode="External"/><Relationship Id="rId190" Type="http://schemas.openxmlformats.org/officeDocument/2006/relationships/hyperlink" Target="https://www.linkedin.com/in/sandra-navarro-9b8242160/" TargetMode="External"/><Relationship Id="rId204" Type="http://schemas.openxmlformats.org/officeDocument/2006/relationships/hyperlink" Target="https://twitter.com/SixtoArias" TargetMode="External"/><Relationship Id="rId225" Type="http://schemas.openxmlformats.org/officeDocument/2006/relationships/hyperlink" Target="http://twitter.com/vicentearias" TargetMode="External"/><Relationship Id="rId246" Type="http://schemas.openxmlformats.org/officeDocument/2006/relationships/hyperlink" Target="http://wuaki.tv/" TargetMode="External"/><Relationship Id="rId267" Type="http://schemas.openxmlformats.org/officeDocument/2006/relationships/hyperlink" Target="https://twitter.com/NachoGiral" TargetMode="External"/><Relationship Id="rId288" Type="http://schemas.openxmlformats.org/officeDocument/2006/relationships/hyperlink" Target="https://twitter.com/MARIAGIRON" TargetMode="External"/><Relationship Id="rId106" Type="http://schemas.openxmlformats.org/officeDocument/2006/relationships/hyperlink" Target="https://twitter.com/KikeDBS" TargetMode="External"/><Relationship Id="rId127" Type="http://schemas.openxmlformats.org/officeDocument/2006/relationships/hyperlink" Target="https://es.linkedin.com/in/jesusmonleon" TargetMode="External"/><Relationship Id="rId313" Type="http://schemas.openxmlformats.org/officeDocument/2006/relationships/hyperlink" Target="https://www.linkedin.com/in/lilyjoo/" TargetMode="External"/><Relationship Id="rId10" Type="http://schemas.openxmlformats.org/officeDocument/2006/relationships/hyperlink" Target="https://www.awincapital.com/videojuegos/" TargetMode="External"/><Relationship Id="rId31" Type="http://schemas.openxmlformats.org/officeDocument/2006/relationships/hyperlink" Target="https://twitter.com/betobetico" TargetMode="External"/><Relationship Id="rId52" Type="http://schemas.openxmlformats.org/officeDocument/2006/relationships/hyperlink" Target="https://www.linkedin.com/in/andreasmihalovits/" TargetMode="External"/><Relationship Id="rId73" Type="http://schemas.openxmlformats.org/officeDocument/2006/relationships/hyperlink" Target="https://twitter.com/CarlosPierretri" TargetMode="External"/><Relationship Id="rId94" Type="http://schemas.openxmlformats.org/officeDocument/2006/relationships/hyperlink" Target="http://blog.productiza.me/" TargetMode="External"/><Relationship Id="rId148" Type="http://schemas.openxmlformats.org/officeDocument/2006/relationships/hyperlink" Target="https://www.mola.com/" TargetMode="External"/><Relationship Id="rId169" Type="http://schemas.openxmlformats.org/officeDocument/2006/relationships/hyperlink" Target="https://es.linkedin.com/in/renedejongspain" TargetMode="External"/><Relationship Id="rId334" Type="http://schemas.openxmlformats.org/officeDocument/2006/relationships/hyperlink" Target="mailto:info@awincapital.com" TargetMode="External"/><Relationship Id="rId355" Type="http://schemas.openxmlformats.org/officeDocument/2006/relationships/hyperlink" Target="https://es.linkedin.com/company/15kangels" TargetMode="External"/><Relationship Id="rId4" Type="http://schemas.openxmlformats.org/officeDocument/2006/relationships/hyperlink" Target="https://twitter.com/Startupxplore" TargetMode="External"/><Relationship Id="rId180" Type="http://schemas.openxmlformats.org/officeDocument/2006/relationships/hyperlink" Target="https://www.linkedin.com/in/rodrigosilvaramos/" TargetMode="External"/><Relationship Id="rId215" Type="http://schemas.openxmlformats.org/officeDocument/2006/relationships/hyperlink" Target="https://www.linkedin.com/in/tdiago/?originalSubdomain=es" TargetMode="External"/><Relationship Id="rId236" Type="http://schemas.openxmlformats.org/officeDocument/2006/relationships/hyperlink" Target="https://www.linkedin.com/in/xavier-durall/" TargetMode="External"/><Relationship Id="rId257" Type="http://schemas.openxmlformats.org/officeDocument/2006/relationships/hyperlink" Target="https://spacestartup.es/servicio-start/" TargetMode="External"/><Relationship Id="rId278" Type="http://schemas.openxmlformats.org/officeDocument/2006/relationships/hyperlink" Target="https://www.linkedin.com/in/mercedesblancogonzalez/" TargetMode="External"/><Relationship Id="rId303" Type="http://schemas.openxmlformats.org/officeDocument/2006/relationships/hyperlink" Target="https://twitter.com/mmunizmorell" TargetMode="External"/><Relationship Id="rId42" Type="http://schemas.openxmlformats.org/officeDocument/2006/relationships/hyperlink" Target="https://alexbki.carrd.co/" TargetMode="External"/><Relationship Id="rId84" Type="http://schemas.openxmlformats.org/officeDocument/2006/relationships/hyperlink" Target="https://es.linkedin.com/in/david-tomas-88529b" TargetMode="External"/><Relationship Id="rId138" Type="http://schemas.openxmlformats.org/officeDocument/2006/relationships/hyperlink" Target="https://www.linkedin.com/in/oscarfuente/" TargetMode="External"/><Relationship Id="rId345" Type="http://schemas.openxmlformats.org/officeDocument/2006/relationships/hyperlink" Target="mailto:didac@lee.com" TargetMode="External"/><Relationship Id="rId191" Type="http://schemas.openxmlformats.org/officeDocument/2006/relationships/hyperlink" Target="https://www.linkedin.com/in/santibernal/" TargetMode="External"/><Relationship Id="rId205" Type="http://schemas.openxmlformats.org/officeDocument/2006/relationships/hyperlink" Target="http://www.smartechcapital.com/" TargetMode="External"/><Relationship Id="rId247" Type="http://schemas.openxmlformats.org/officeDocument/2006/relationships/hyperlink" Target="https://www.15kangels.com/" TargetMode="External"/><Relationship Id="rId107" Type="http://schemas.openxmlformats.org/officeDocument/2006/relationships/hyperlink" Target="https://es.linkedin.com/in/fderbaix" TargetMode="External"/><Relationship Id="rId289" Type="http://schemas.openxmlformats.org/officeDocument/2006/relationships/hyperlink" Target="https://www.linkedin.com/in/mariaeugeniagiron/" TargetMode="External"/><Relationship Id="rId11" Type="http://schemas.openxmlformats.org/officeDocument/2006/relationships/hyperlink" Target="https://www.4founderscapital.com/" TargetMode="External"/><Relationship Id="rId53" Type="http://schemas.openxmlformats.org/officeDocument/2006/relationships/hyperlink" Target="https://www.linkedin.com/in/andresbou/" TargetMode="External"/><Relationship Id="rId149" Type="http://schemas.openxmlformats.org/officeDocument/2006/relationships/hyperlink" Target="https://www.linkedin.com/in/patriciacasadofdezdecarranza/?originalSubdomain=es" TargetMode="External"/><Relationship Id="rId314" Type="http://schemas.openxmlformats.org/officeDocument/2006/relationships/hyperlink" Target="https://twitter.com/Lurquizu" TargetMode="External"/><Relationship Id="rId356" Type="http://schemas.openxmlformats.org/officeDocument/2006/relationships/hyperlink" Target="https://es.linkedin.com/company/4founders-capital" TargetMode="External"/><Relationship Id="rId95" Type="http://schemas.openxmlformats.org/officeDocument/2006/relationships/hyperlink" Target="https://dozeninvestments.com/" TargetMode="External"/><Relationship Id="rId160" Type="http://schemas.openxmlformats.org/officeDocument/2006/relationships/hyperlink" Target="https://www.linkedin.com/in/perevalles/?originalSubdomain=es" TargetMode="External"/><Relationship Id="rId216" Type="http://schemas.openxmlformats.org/officeDocument/2006/relationships/hyperlink" Target="https://twitter.com/tomasdiago" TargetMode="External"/><Relationship Id="rId258" Type="http://schemas.openxmlformats.org/officeDocument/2006/relationships/hyperlink" Target="https://levelsup.eu/" TargetMode="External"/><Relationship Id="rId22" Type="http://schemas.openxmlformats.org/officeDocument/2006/relationships/hyperlink" Target="http://betella.net/" TargetMode="External"/><Relationship Id="rId64" Type="http://schemas.openxmlformats.org/officeDocument/2006/relationships/hyperlink" Target="https://www.linkedin.com/in/bernardohernandez" TargetMode="External"/><Relationship Id="rId118" Type="http://schemas.openxmlformats.org/officeDocument/2006/relationships/hyperlink" Target="https://www.linkedin.com/in/inesures/" TargetMode="External"/><Relationship Id="rId325" Type="http://schemas.openxmlformats.org/officeDocument/2006/relationships/hyperlink" Target="mailto:info@ad4ventures.com" TargetMode="External"/><Relationship Id="rId171" Type="http://schemas.openxmlformats.org/officeDocument/2006/relationships/hyperlink" Target="http://renedejong.com/" TargetMode="External"/><Relationship Id="rId227" Type="http://schemas.openxmlformats.org/officeDocument/2006/relationships/hyperlink" Target="https://www.linkedin.com/in/victoria-majadas-morales-2179b74/?originalSubdomain=es" TargetMode="External"/><Relationship Id="rId269" Type="http://schemas.openxmlformats.org/officeDocument/2006/relationships/hyperlink" Target="https://www.linkedin.com/in/mikelcastanoslopez/" TargetMode="External"/><Relationship Id="rId33" Type="http://schemas.openxmlformats.org/officeDocument/2006/relationships/hyperlink" Target="https://es.linkedin.com/in/albertoknapp" TargetMode="External"/><Relationship Id="rId129" Type="http://schemas.openxmlformats.org/officeDocument/2006/relationships/hyperlink" Target="https://twitter.com/jemonleon" TargetMode="External"/><Relationship Id="rId280" Type="http://schemas.openxmlformats.org/officeDocument/2006/relationships/hyperlink" Target="https://www.linkedin.com/in/martinvarsavsky" TargetMode="External"/><Relationship Id="rId336" Type="http://schemas.openxmlformats.org/officeDocument/2006/relationships/hyperlink" Target="mailto:info@civeta.es" TargetMode="External"/><Relationship Id="rId75" Type="http://schemas.openxmlformats.org/officeDocument/2006/relationships/hyperlink" Target="https://conexo.vc/" TargetMode="External"/><Relationship Id="rId140" Type="http://schemas.openxmlformats.org/officeDocument/2006/relationships/hyperlink" Target="https://www.linkedin.com/in/pablocallejon/" TargetMode="External"/><Relationship Id="rId182" Type="http://schemas.openxmlformats.org/officeDocument/2006/relationships/hyperlink" Target="https://www.linkedin.com/in/rogeliovillalbagarcia/" TargetMode="External"/><Relationship Id="rId6" Type="http://schemas.openxmlformats.org/officeDocument/2006/relationships/hyperlink" Target="https://www.linkedin.com/in/ratgasol/" TargetMode="External"/><Relationship Id="rId238" Type="http://schemas.openxmlformats.org/officeDocument/2006/relationships/hyperlink" Target="https://es.linkedin.com/in/yago-arbeloa-2448623" TargetMode="External"/><Relationship Id="rId291" Type="http://schemas.openxmlformats.org/officeDocument/2006/relationships/hyperlink" Target="https://twitter.com/fodor" TargetMode="External"/><Relationship Id="rId305" Type="http://schemas.openxmlformats.org/officeDocument/2006/relationships/hyperlink" Target="https://www.linkedin.com/in/mjaffrin/" TargetMode="External"/><Relationship Id="rId347" Type="http://schemas.openxmlformats.org/officeDocument/2006/relationships/hyperlink" Target="mailto:diego@marino.com" TargetMode="External"/><Relationship Id="rId44" Type="http://schemas.openxmlformats.org/officeDocument/2006/relationships/hyperlink" Target="https://www.linkedin.com/in/dantart/" TargetMode="External"/><Relationship Id="rId86" Type="http://schemas.openxmlformats.org/officeDocument/2006/relationships/hyperlink" Target="https://es.linkedin.com/in/didaclee" TargetMode="External"/><Relationship Id="rId151" Type="http://schemas.openxmlformats.org/officeDocument/2006/relationships/hyperlink" Target="https://www.linkedin.com/in/patriciohunt/" TargetMode="External"/><Relationship Id="rId193" Type="http://schemas.openxmlformats.org/officeDocument/2006/relationships/hyperlink" Target="http://tulechoaltecho.com/" TargetMode="External"/><Relationship Id="rId207" Type="http://schemas.openxmlformats.org/officeDocument/2006/relationships/hyperlink" Target="https://swanlaab.com/es/criterios-de-inversion/" TargetMode="External"/><Relationship Id="rId249" Type="http://schemas.openxmlformats.org/officeDocument/2006/relationships/hyperlink" Target="https://twitter.com/jmegias" TargetMode="External"/><Relationship Id="rId13" Type="http://schemas.openxmlformats.org/officeDocument/2006/relationships/hyperlink" Target="http://www.ad4ventures.com/investment-model/" TargetMode="External"/><Relationship Id="rId109" Type="http://schemas.openxmlformats.org/officeDocument/2006/relationships/hyperlink" Target="https://twitter.com/fderbaix" TargetMode="External"/><Relationship Id="rId260" Type="http://schemas.openxmlformats.org/officeDocument/2006/relationships/hyperlink" Target="https://lanaipartners.com/" TargetMode="External"/><Relationship Id="rId316" Type="http://schemas.openxmlformats.org/officeDocument/2006/relationships/hyperlink" Target="https://www.keiretsuforum.es/formulario-descarga/" TargetMode="External"/><Relationship Id="rId55" Type="http://schemas.openxmlformats.org/officeDocument/2006/relationships/hyperlink" Target="https://www.linkedin.com/in/angelgarciabcn/?originalSubdomain=es" TargetMode="External"/><Relationship Id="rId97" Type="http://schemas.openxmlformats.org/officeDocument/2006/relationships/hyperlink" Target="https://www.easoventures.com/politica-de-inversion/" TargetMode="External"/><Relationship Id="rId120" Type="http://schemas.openxmlformats.org/officeDocument/2006/relationships/hyperlink" Target="https://twitter.com/janbri" TargetMode="External"/><Relationship Id="rId358" Type="http://schemas.openxmlformats.org/officeDocument/2006/relationships/printerSettings" Target="../printerSettings/printerSettings1.bin"/><Relationship Id="rId162" Type="http://schemas.openxmlformats.org/officeDocument/2006/relationships/hyperlink" Target="https://www.pinama.es/copia-de-participadas-p13" TargetMode="External"/><Relationship Id="rId218" Type="http://schemas.openxmlformats.org/officeDocument/2006/relationships/hyperlink" Target="https://twitter.com/_tomasguillen" TargetMode="External"/><Relationship Id="rId271" Type="http://schemas.openxmlformats.org/officeDocument/2006/relationships/hyperlink" Target="https://www.linkedin.com/in/miguel-huguet-vi%C3%B1as-51b09444/" TargetMode="External"/><Relationship Id="rId24" Type="http://schemas.openxmlformats.org/officeDocument/2006/relationships/hyperlink" Target="https://www.linkedin.com/in/albertfeliu/" TargetMode="External"/><Relationship Id="rId66" Type="http://schemas.openxmlformats.org/officeDocument/2006/relationships/hyperlink" Target="https://www.linkedin.com/in/carlosblanco/" TargetMode="External"/><Relationship Id="rId131" Type="http://schemas.openxmlformats.org/officeDocument/2006/relationships/hyperlink" Target="https://www.linkedin.com/in/jonetxeberriaijurra/" TargetMode="External"/><Relationship Id="rId327" Type="http://schemas.openxmlformats.org/officeDocument/2006/relationships/hyperlink" Target="mailto:andoni@alfaropartners.com" TargetMode="External"/><Relationship Id="rId173" Type="http://schemas.openxmlformats.org/officeDocument/2006/relationships/hyperlink" Target="https://www.linkedin.com/in/ricardo-coscollola-17527711/" TargetMode="External"/><Relationship Id="rId229" Type="http://schemas.openxmlformats.org/officeDocument/2006/relationships/hyperlink" Target="https://www.linkedin.com/in/vincent-klug-20b2aa90/" TargetMode="External"/><Relationship Id="rId240" Type="http://schemas.openxmlformats.org/officeDocument/2006/relationships/hyperlink" Target="https://twitter.com/YagoArbeloa" TargetMode="External"/><Relationship Id="rId35" Type="http://schemas.openxmlformats.org/officeDocument/2006/relationships/hyperlink" Target="https://www.linkedin.com/in/alejandro-de-le%C3%B3n-moreno-a550821b/" TargetMode="External"/><Relationship Id="rId77" Type="http://schemas.openxmlformats.org/officeDocument/2006/relationships/hyperlink" Target="https://www.cupidocapital.com/" TargetMode="External"/><Relationship Id="rId100" Type="http://schemas.openxmlformats.org/officeDocument/2006/relationships/hyperlink" Target="https://angel.co/elies" TargetMode="External"/><Relationship Id="rId282" Type="http://schemas.openxmlformats.org/officeDocument/2006/relationships/hyperlink" Target="https://www.linkedin.com/in/martimanent/" TargetMode="External"/><Relationship Id="rId338" Type="http://schemas.openxmlformats.org/officeDocument/2006/relationships/hyperlink" Target="mailto:carlos@blanco.com" TargetMode="External"/><Relationship Id="rId8" Type="http://schemas.openxmlformats.org/officeDocument/2006/relationships/hyperlink" Target="https://wejazz.es/" TargetMode="External"/><Relationship Id="rId142" Type="http://schemas.openxmlformats.org/officeDocument/2006/relationships/hyperlink" Target="https://twitter.com/pcarrallo" TargetMode="External"/><Relationship Id="rId184" Type="http://schemas.openxmlformats.org/officeDocument/2006/relationships/hyperlink" Target="https://twitter.com/RogerBaranera" TargetMode="External"/><Relationship Id="rId251" Type="http://schemas.openxmlformats.org/officeDocument/2006/relationships/hyperlink" Target="https://netcapital.e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3i.com/portfolio?business_line=2274&amp;page=2" TargetMode="External"/><Relationship Id="rId13" Type="http://schemas.openxmlformats.org/officeDocument/2006/relationships/hyperlink" Target="http://aconinvestments.com/" TargetMode="External"/><Relationship Id="rId18" Type="http://schemas.openxmlformats.org/officeDocument/2006/relationships/hyperlink" Target="http://www.miuraequity.com/" TargetMode="External"/><Relationship Id="rId3" Type="http://schemas.openxmlformats.org/officeDocument/2006/relationships/hyperlink" Target="mailto:daniel.vinas@3i.com" TargetMode="External"/><Relationship Id="rId21" Type="http://schemas.openxmlformats.org/officeDocument/2006/relationships/drawing" Target="../drawings/drawing3.xml"/><Relationship Id="rId7" Type="http://schemas.openxmlformats.org/officeDocument/2006/relationships/hyperlink" Target="https://www.adventinternational.com/investments/" TargetMode="External"/><Relationship Id="rId12" Type="http://schemas.openxmlformats.org/officeDocument/2006/relationships/hyperlink" Target="https://ergoncapital.com/investments/" TargetMode="External"/><Relationship Id="rId17" Type="http://schemas.openxmlformats.org/officeDocument/2006/relationships/hyperlink" Target="http://www.gpf-capital.com/" TargetMode="External"/><Relationship Id="rId2" Type="http://schemas.openxmlformats.org/officeDocument/2006/relationships/hyperlink" Target="mailto:gcaillaux@generalatlantic.com" TargetMode="External"/><Relationship Id="rId16" Type="http://schemas.openxmlformats.org/officeDocument/2006/relationships/hyperlink" Target="https://www.abaccapital.com/es/" TargetMode="External"/><Relationship Id="rId20" Type="http://schemas.openxmlformats.org/officeDocument/2006/relationships/printerSettings" Target="../printerSettings/printerSettings2.bin"/><Relationship Id="rId1" Type="http://schemas.openxmlformats.org/officeDocument/2006/relationships/hyperlink" Target="mailto:nz@ergoncapital.es" TargetMode="External"/><Relationship Id="rId6" Type="http://schemas.openxmlformats.org/officeDocument/2006/relationships/hyperlink" Target="https://www.rothschildandco.com/en/merchant-banking/corporate-private-equity/facp/" TargetMode="External"/><Relationship Id="rId11" Type="http://schemas.openxmlformats.org/officeDocument/2006/relationships/hyperlink" Target="https://www.ta.com/" TargetMode="External"/><Relationship Id="rId5" Type="http://schemas.openxmlformats.org/officeDocument/2006/relationships/hyperlink" Target="https://www.portobellocapital.es/" TargetMode="External"/><Relationship Id="rId15" Type="http://schemas.openxmlformats.org/officeDocument/2006/relationships/hyperlink" Target="mailto:info@sherpacapital.es" TargetMode="External"/><Relationship Id="rId10" Type="http://schemas.openxmlformats.org/officeDocument/2006/relationships/hyperlink" Target="https://www.investcorp.com/what-we-do/portfolio/" TargetMode="External"/><Relationship Id="rId19" Type="http://schemas.openxmlformats.org/officeDocument/2006/relationships/hyperlink" Target="tel:2024541100" TargetMode="External"/><Relationship Id="rId4" Type="http://schemas.openxmlformats.org/officeDocument/2006/relationships/hyperlink" Target="https://www.nazca.es/" TargetMode="External"/><Relationship Id="rId9" Type="http://schemas.openxmlformats.org/officeDocument/2006/relationships/hyperlink" Target="https://www.generalatlantic.com/portfolio/" TargetMode="External"/><Relationship Id="rId14" Type="http://schemas.openxmlformats.org/officeDocument/2006/relationships/hyperlink" Target="http://www.clavemayor.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osagroup.co/contact-us/" TargetMode="External"/><Relationship Id="rId13" Type="http://schemas.openxmlformats.org/officeDocument/2006/relationships/hyperlink" Target="https://www.privateequityinternational.com/institution-profiles/omega-gesti%C3%B3n.html" TargetMode="External"/><Relationship Id="rId18" Type="http://schemas.openxmlformats.org/officeDocument/2006/relationships/drawing" Target="../drawings/drawing4.xml"/><Relationship Id="rId3" Type="http://schemas.openxmlformats.org/officeDocument/2006/relationships/hyperlink" Target="mailto:asobrino@naropa.es" TargetMode="External"/><Relationship Id="rId7" Type="http://schemas.openxmlformats.org/officeDocument/2006/relationships/hyperlink" Target="https://www.linkedin.com/company/losa-group/?originalSubdomain=gt" TargetMode="External"/><Relationship Id="rId12" Type="http://schemas.openxmlformats.org/officeDocument/2006/relationships/hyperlink" Target="https://www.inveravante.com/" TargetMode="External"/><Relationship Id="rId17" Type="http://schemas.openxmlformats.org/officeDocument/2006/relationships/printerSettings" Target="../printerSettings/printerSettings3.bin"/><Relationship Id="rId2" Type="http://schemas.openxmlformats.org/officeDocument/2006/relationships/hyperlink" Target="mailto:dprado@omega-capital.com" TargetMode="External"/><Relationship Id="rId16" Type="http://schemas.openxmlformats.org/officeDocument/2006/relationships/hyperlink" Target="https://www.mcapitalp.com/contact/" TargetMode="External"/><Relationship Id="rId1" Type="http://schemas.openxmlformats.org/officeDocument/2006/relationships/hyperlink" Target="mailto:isalcedo@elenebro.com" TargetMode="External"/><Relationship Id="rId6" Type="http://schemas.openxmlformats.org/officeDocument/2006/relationships/hyperlink" Target="https://www.novamerica.com.br/" TargetMode="External"/><Relationship Id="rId11" Type="http://schemas.openxmlformats.org/officeDocument/2006/relationships/hyperlink" Target="https://www.linkedin.com/company/startupxplore/" TargetMode="External"/><Relationship Id="rId5" Type="http://schemas.openxmlformats.org/officeDocument/2006/relationships/hyperlink" Target="mailto:mcaus@landon.es" TargetMode="External"/><Relationship Id="rId15" Type="http://schemas.openxmlformats.org/officeDocument/2006/relationships/hyperlink" Target="https://www.cnmv.es/webservices/verdocumento/ver?e=80uaqoOMxt5g31S7qkZCE7ojc5caDaczWitwUsYwRmRQSRh0dt1K2vXNhAR3mLSV" TargetMode="External"/><Relationship Id="rId10" Type="http://schemas.openxmlformats.org/officeDocument/2006/relationships/hyperlink" Target="https://inversionesbahia.com/" TargetMode="External"/><Relationship Id="rId4" Type="http://schemas.openxmlformats.org/officeDocument/2006/relationships/hyperlink" Target="mailto:pventura@fjme.org" TargetMode="External"/><Relationship Id="rId9" Type="http://schemas.openxmlformats.org/officeDocument/2006/relationships/hyperlink" Target="https://www.nicolascorrea.com/en/contact" TargetMode="External"/><Relationship Id="rId14" Type="http://schemas.openxmlformats.org/officeDocument/2006/relationships/hyperlink" Target="https://www.elenebro.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mailto:cedric.koehler@creathor.de" TargetMode="External"/><Relationship Id="rId18" Type="http://schemas.openxmlformats.org/officeDocument/2006/relationships/hyperlink" Target="http://www.wellington-partners.com/" TargetMode="External"/><Relationship Id="rId26" Type="http://schemas.openxmlformats.org/officeDocument/2006/relationships/hyperlink" Target="http://www.ecapital.de/en" TargetMode="External"/><Relationship Id="rId21" Type="http://schemas.openxmlformats.org/officeDocument/2006/relationships/hyperlink" Target="http://www.warburgpincus.com/" TargetMode="External"/><Relationship Id="rId34" Type="http://schemas.openxmlformats.org/officeDocument/2006/relationships/hyperlink" Target="https://www.kfund.vc/" TargetMode="External"/><Relationship Id="rId7" Type="http://schemas.openxmlformats.org/officeDocument/2006/relationships/hyperlink" Target="http://www.omnescapital.com/" TargetMode="External"/><Relationship Id="rId12" Type="http://schemas.openxmlformats.org/officeDocument/2006/relationships/hyperlink" Target="mailto:info@hpegrowthcapital.com" TargetMode="External"/><Relationship Id="rId17" Type="http://schemas.openxmlformats.org/officeDocument/2006/relationships/hyperlink" Target="http://www.ardian-investment.com/" TargetMode="External"/><Relationship Id="rId25" Type="http://schemas.openxmlformats.org/officeDocument/2006/relationships/hyperlink" Target="http://www.doughtyhanson.com/" TargetMode="External"/><Relationship Id="rId33" Type="http://schemas.openxmlformats.org/officeDocument/2006/relationships/hyperlink" Target="mailto:info@s-refit.de" TargetMode="External"/><Relationship Id="rId38" Type="http://schemas.openxmlformats.org/officeDocument/2006/relationships/drawing" Target="../drawings/drawing5.xml"/><Relationship Id="rId2" Type="http://schemas.openxmlformats.org/officeDocument/2006/relationships/hyperlink" Target="http://www.demeter-partners.com/" TargetMode="External"/><Relationship Id="rId16" Type="http://schemas.openxmlformats.org/officeDocument/2006/relationships/hyperlink" Target="http://www.gizavc.com/" TargetMode="External"/><Relationship Id="rId20" Type="http://schemas.openxmlformats.org/officeDocument/2006/relationships/hyperlink" Target="http://www.grupobullnet.com/" TargetMode="External"/><Relationship Id="rId29" Type="http://schemas.openxmlformats.org/officeDocument/2006/relationships/hyperlink" Target="http://www.hpegrowthcapital.com/" TargetMode="External"/><Relationship Id="rId1" Type="http://schemas.openxmlformats.org/officeDocument/2006/relationships/hyperlink" Target="http://www.active-vp.com/" TargetMode="External"/><Relationship Id="rId6" Type="http://schemas.openxmlformats.org/officeDocument/2006/relationships/hyperlink" Target="mailto:contact.spain@najeti.com" TargetMode="External"/><Relationship Id="rId11" Type="http://schemas.openxmlformats.org/officeDocument/2006/relationships/hyperlink" Target="http://www.blumbergcapital.com/" TargetMode="External"/><Relationship Id="rId24" Type="http://schemas.openxmlformats.org/officeDocument/2006/relationships/hyperlink" Target="http://www.bpep.es/" TargetMode="External"/><Relationship Id="rId32" Type="http://schemas.openxmlformats.org/officeDocument/2006/relationships/hyperlink" Target="mailto:info@s-refit.de" TargetMode="External"/><Relationship Id="rId37" Type="http://schemas.openxmlformats.org/officeDocument/2006/relationships/hyperlink" Target="https://www.linkedin.com/company/warburg-pincus-llc/" TargetMode="External"/><Relationship Id="rId5" Type="http://schemas.openxmlformats.org/officeDocument/2006/relationships/hyperlink" Target="http://www.spain.najeti.com/" TargetMode="External"/><Relationship Id="rId15" Type="http://schemas.openxmlformats.org/officeDocument/2006/relationships/hyperlink" Target="http://www.taliscapital.com/" TargetMode="External"/><Relationship Id="rId23" Type="http://schemas.openxmlformats.org/officeDocument/2006/relationships/hyperlink" Target="http://www.adaravp.com/" TargetMode="External"/><Relationship Id="rId28" Type="http://schemas.openxmlformats.org/officeDocument/2006/relationships/hyperlink" Target="mailto:info@evp-capital.com" TargetMode="External"/><Relationship Id="rId36" Type="http://schemas.openxmlformats.org/officeDocument/2006/relationships/hyperlink" Target="https://ch.linkedin.com/in/cedrickoehler" TargetMode="External"/><Relationship Id="rId10" Type="http://schemas.openxmlformats.org/officeDocument/2006/relationships/hyperlink" Target="mailto:info@adventventures.com." TargetMode="External"/><Relationship Id="rId19" Type="http://schemas.openxmlformats.org/officeDocument/2006/relationships/hyperlink" Target="mailto:london@wellington-partners.com" TargetMode="External"/><Relationship Id="rId31" Type="http://schemas.openxmlformats.org/officeDocument/2006/relationships/hyperlink" Target="http://www.s-refit.de/" TargetMode="External"/><Relationship Id="rId4" Type="http://schemas.openxmlformats.org/officeDocument/2006/relationships/hyperlink" Target="http://www.nautacapital.com/" TargetMode="External"/><Relationship Id="rId9" Type="http://schemas.openxmlformats.org/officeDocument/2006/relationships/hyperlink" Target="http://www.adventventures.com/" TargetMode="External"/><Relationship Id="rId14" Type="http://schemas.openxmlformats.org/officeDocument/2006/relationships/hyperlink" Target="http://www.creathor.de/" TargetMode="External"/><Relationship Id="rId22" Type="http://schemas.openxmlformats.org/officeDocument/2006/relationships/hyperlink" Target="http://www.inveready.com/" TargetMode="External"/><Relationship Id="rId27" Type="http://schemas.openxmlformats.org/officeDocument/2006/relationships/hyperlink" Target="http://www.evp-capital.com/" TargetMode="External"/><Relationship Id="rId30" Type="http://schemas.openxmlformats.org/officeDocument/2006/relationships/hyperlink" Target="mailto:info@hpegrowthcapital.com" TargetMode="External"/><Relationship Id="rId35" Type="http://schemas.openxmlformats.org/officeDocument/2006/relationships/hyperlink" Target="https://es.linkedin.com/company/bullnet-capital?utm_source=chatgpt.com" TargetMode="External"/><Relationship Id="rId8" Type="http://schemas.openxmlformats.org/officeDocument/2006/relationships/hyperlink" Target="mailto:michel.delempdes@omnescapital.com" TargetMode="External"/><Relationship Id="rId3" Type="http://schemas.openxmlformats.org/officeDocument/2006/relationships/hyperlink" Target="http://www.axonpartnersgroup.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bluebay-capital.com/" TargetMode="External"/><Relationship Id="rId2" Type="http://schemas.openxmlformats.org/officeDocument/2006/relationships/hyperlink" Target="https://www.lgtcp.com/en/" TargetMode="External"/><Relationship Id="rId1" Type="http://schemas.openxmlformats.org/officeDocument/2006/relationships/hyperlink" Target="https://oquendocapital.com/" TargetMode="External"/><Relationship Id="rId6" Type="http://schemas.openxmlformats.org/officeDocument/2006/relationships/hyperlink" Target="mailto:shareholders@tikehaucapital.com" TargetMode="External"/><Relationship Id="rId5" Type="http://schemas.openxmlformats.org/officeDocument/2006/relationships/hyperlink" Target="mailto:atencionclientetreaam@treaam.com" TargetMode="External"/><Relationship Id="rId4" Type="http://schemas.openxmlformats.org/officeDocument/2006/relationships/hyperlink" Target="mailto:miguel.g.cordoba@oquendocapit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454-EB96-42A1-801A-8BA5FE2FA7AB}">
  <dimension ref="A1:I320"/>
  <sheetViews>
    <sheetView zoomScaleNormal="100" workbookViewId="0">
      <pane ySplit="1" topLeftCell="A301" activePane="bottomLeft" state="frozen"/>
      <selection pane="bottomLeft" activeCell="I320" sqref="I320"/>
    </sheetView>
  </sheetViews>
  <sheetFormatPr defaultRowHeight="12.75" x14ac:dyDescent="0.2"/>
  <cols>
    <col min="1" max="1" width="41.28515625" style="10" bestFit="1" customWidth="1"/>
    <col min="2" max="2" width="48" style="10" customWidth="1"/>
    <col min="3" max="3" width="33.28515625" style="10" bestFit="1" customWidth="1"/>
    <col min="4" max="4" width="52.140625" style="10" customWidth="1"/>
    <col min="5" max="5" width="30.85546875" style="157" customWidth="1"/>
    <col min="6" max="6" width="36.28515625" style="10" customWidth="1"/>
    <col min="7" max="7" width="130" style="10" bestFit="1" customWidth="1"/>
    <col min="8" max="8" width="43.5703125" style="10" customWidth="1"/>
    <col min="9" max="9" width="20.5703125" style="10" customWidth="1"/>
    <col min="10" max="16384" width="9.140625" style="10"/>
  </cols>
  <sheetData>
    <row r="1" spans="1:9" ht="15.75" x14ac:dyDescent="0.2">
      <c r="A1" s="146" t="s">
        <v>2031</v>
      </c>
      <c r="B1" s="146" t="s">
        <v>2</v>
      </c>
      <c r="C1" s="146" t="s">
        <v>2067</v>
      </c>
      <c r="D1" s="146" t="s">
        <v>3</v>
      </c>
      <c r="E1" s="147" t="s">
        <v>4</v>
      </c>
      <c r="F1" s="146" t="s">
        <v>5</v>
      </c>
      <c r="G1" s="146" t="s">
        <v>2068</v>
      </c>
      <c r="H1" s="146" t="s">
        <v>1936</v>
      </c>
      <c r="I1" s="10" t="s">
        <v>2459</v>
      </c>
    </row>
    <row r="2" spans="1:9" ht="16.5" x14ac:dyDescent="0.2">
      <c r="A2" s="145" t="s">
        <v>14</v>
      </c>
      <c r="B2" s="72" t="s">
        <v>15</v>
      </c>
      <c r="C2" s="72"/>
      <c r="D2" s="10" t="s">
        <v>16</v>
      </c>
      <c r="E2" s="148" t="s">
        <v>17</v>
      </c>
      <c r="F2" s="149" t="s">
        <v>18</v>
      </c>
      <c r="G2" s="149"/>
    </row>
    <row r="3" spans="1:9" ht="16.5" x14ac:dyDescent="0.2">
      <c r="A3" s="145" t="s">
        <v>26</v>
      </c>
      <c r="B3" s="72" t="s">
        <v>27</v>
      </c>
      <c r="C3" s="72"/>
      <c r="D3" s="10" t="s">
        <v>28</v>
      </c>
      <c r="E3" s="148">
        <v>34935456500</v>
      </c>
      <c r="F3" s="10" t="s">
        <v>30</v>
      </c>
      <c r="H3" s="10" t="s">
        <v>2032</v>
      </c>
    </row>
    <row r="4" spans="1:9" ht="16.5" x14ac:dyDescent="0.2">
      <c r="A4" s="145" t="s">
        <v>36</v>
      </c>
      <c r="B4" s="72" t="s">
        <v>37</v>
      </c>
      <c r="C4" s="72"/>
      <c r="E4" s="150" t="s">
        <v>39</v>
      </c>
      <c r="F4" s="151" t="s">
        <v>2033</v>
      </c>
      <c r="G4" s="10" t="s">
        <v>2034</v>
      </c>
    </row>
    <row r="5" spans="1:9" ht="30" x14ac:dyDescent="0.2">
      <c r="A5" s="145" t="s">
        <v>46</v>
      </c>
      <c r="B5" s="72" t="s">
        <v>47</v>
      </c>
      <c r="C5" s="72" t="s">
        <v>2069</v>
      </c>
      <c r="D5" s="72"/>
      <c r="E5" s="148" t="s">
        <v>49</v>
      </c>
      <c r="F5" s="66" t="s">
        <v>50</v>
      </c>
      <c r="G5" s="66"/>
      <c r="H5" s="68"/>
    </row>
    <row r="6" spans="1:9" ht="16.5" x14ac:dyDescent="0.2">
      <c r="A6" s="145" t="s">
        <v>46</v>
      </c>
      <c r="B6" s="72" t="s">
        <v>2040</v>
      </c>
      <c r="C6" s="68" t="s">
        <v>2043</v>
      </c>
      <c r="D6" s="72"/>
      <c r="E6" s="148"/>
      <c r="F6" s="66"/>
      <c r="G6" s="66"/>
      <c r="H6" s="68"/>
    </row>
    <row r="7" spans="1:9" ht="16.5" x14ac:dyDescent="0.2">
      <c r="A7" s="145" t="s">
        <v>46</v>
      </c>
      <c r="B7" s="72" t="s">
        <v>2041</v>
      </c>
      <c r="C7" s="68" t="s">
        <v>2042</v>
      </c>
      <c r="D7" s="72"/>
      <c r="E7" s="148"/>
      <c r="F7" s="66"/>
      <c r="G7" s="66"/>
      <c r="H7" s="68"/>
    </row>
    <row r="8" spans="1:9" s="155" customFormat="1" ht="30" x14ac:dyDescent="0.2">
      <c r="A8" s="145" t="s">
        <v>56</v>
      </c>
      <c r="B8" s="152" t="s">
        <v>2047</v>
      </c>
      <c r="C8" s="152"/>
      <c r="D8" s="152"/>
      <c r="E8" s="153"/>
      <c r="F8" s="154" t="s">
        <v>2048</v>
      </c>
      <c r="G8" s="154"/>
      <c r="H8" s="154" t="s">
        <v>59</v>
      </c>
    </row>
    <row r="9" spans="1:9" s="155" customFormat="1" ht="30" x14ac:dyDescent="0.2">
      <c r="A9" s="145" t="s">
        <v>56</v>
      </c>
      <c r="B9" s="152" t="s">
        <v>2046</v>
      </c>
      <c r="C9" s="152"/>
      <c r="D9" s="152"/>
      <c r="E9" s="153"/>
      <c r="F9" s="154" t="s">
        <v>2049</v>
      </c>
      <c r="G9" s="154"/>
      <c r="H9" s="154" t="s">
        <v>59</v>
      </c>
    </row>
    <row r="10" spans="1:9" s="155" customFormat="1" ht="16.5" x14ac:dyDescent="0.2">
      <c r="A10" s="145" t="s">
        <v>56</v>
      </c>
      <c r="B10" s="152" t="s">
        <v>2045</v>
      </c>
      <c r="C10" s="155" t="s">
        <v>2050</v>
      </c>
      <c r="D10" s="152"/>
      <c r="E10" s="153"/>
      <c r="F10" s="154"/>
      <c r="G10" s="154"/>
    </row>
    <row r="11" spans="1:9" s="155" customFormat="1" ht="16.5" x14ac:dyDescent="0.2">
      <c r="A11" s="145" t="s">
        <v>56</v>
      </c>
      <c r="B11" s="152" t="s">
        <v>2044</v>
      </c>
      <c r="C11" s="155" t="s">
        <v>2051</v>
      </c>
      <c r="D11" s="152"/>
      <c r="E11" s="153"/>
      <c r="F11" s="154"/>
      <c r="G11" s="154"/>
    </row>
    <row r="12" spans="1:9" ht="51" x14ac:dyDescent="0.2">
      <c r="A12" s="145" t="s">
        <v>67</v>
      </c>
      <c r="B12" s="72" t="s">
        <v>68</v>
      </c>
      <c r="C12" s="72"/>
      <c r="D12" s="151"/>
      <c r="E12" s="148" t="s">
        <v>70</v>
      </c>
      <c r="F12" s="66" t="s">
        <v>71</v>
      </c>
      <c r="G12" s="66"/>
      <c r="H12" s="68" t="s">
        <v>2035</v>
      </c>
    </row>
    <row r="13" spans="1:9" s="160" customFormat="1" ht="60" x14ac:dyDescent="0.2">
      <c r="A13" s="169" t="s">
        <v>78</v>
      </c>
      <c r="B13" s="166" t="s">
        <v>79</v>
      </c>
      <c r="C13" s="166"/>
      <c r="E13" s="167" t="s">
        <v>2038</v>
      </c>
      <c r="F13" s="168" t="s">
        <v>2036</v>
      </c>
      <c r="G13" s="164" t="s">
        <v>80</v>
      </c>
      <c r="H13" s="160" t="s">
        <v>2052</v>
      </c>
    </row>
    <row r="14" spans="1:9" ht="16.5" x14ac:dyDescent="0.2">
      <c r="A14" s="145" t="s">
        <v>78</v>
      </c>
      <c r="B14" s="72" t="s">
        <v>2223</v>
      </c>
      <c r="C14" s="72" t="s">
        <v>1368</v>
      </c>
      <c r="D14" s="68"/>
      <c r="E14" s="148" t="s">
        <v>2039</v>
      </c>
      <c r="F14" s="66" t="s">
        <v>2037</v>
      </c>
      <c r="G14" s="66"/>
      <c r="H14" s="10" t="s">
        <v>2053</v>
      </c>
    </row>
    <row r="15" spans="1:9" ht="16.5" x14ac:dyDescent="0.2">
      <c r="A15" s="145" t="s">
        <v>89</v>
      </c>
      <c r="B15" s="72" t="s">
        <v>90</v>
      </c>
      <c r="C15" s="72"/>
      <c r="D15" s="72"/>
      <c r="E15" s="148" t="s">
        <v>91</v>
      </c>
      <c r="F15" s="66" t="s">
        <v>92</v>
      </c>
      <c r="G15" s="66"/>
    </row>
    <row r="16" spans="1:9" s="160" customFormat="1" ht="30" x14ac:dyDescent="0.2">
      <c r="A16" s="169" t="s">
        <v>98</v>
      </c>
      <c r="B16" s="166"/>
      <c r="C16" s="166"/>
      <c r="D16" s="166" t="s">
        <v>99</v>
      </c>
      <c r="E16" s="167">
        <v>917378195</v>
      </c>
      <c r="F16" s="160" t="s">
        <v>100</v>
      </c>
    </row>
    <row r="17" spans="1:8" ht="16.5" x14ac:dyDescent="0.2">
      <c r="A17" s="145" t="s">
        <v>108</v>
      </c>
      <c r="B17" s="72" t="s">
        <v>109</v>
      </c>
      <c r="C17" s="72"/>
      <c r="D17" s="72"/>
      <c r="E17" s="148" t="s">
        <v>110</v>
      </c>
    </row>
    <row r="18" spans="1:8" s="160" customFormat="1" ht="16.5" x14ac:dyDescent="0.2">
      <c r="A18" s="169" t="s">
        <v>116</v>
      </c>
      <c r="B18" s="166"/>
      <c r="C18" s="166"/>
      <c r="D18" s="164" t="s">
        <v>117</v>
      </c>
      <c r="E18" s="167"/>
      <c r="F18" s="160" t="s">
        <v>118</v>
      </c>
    </row>
    <row r="19" spans="1:8" ht="51" x14ac:dyDescent="0.2">
      <c r="A19" s="145" t="s">
        <v>125</v>
      </c>
      <c r="B19" s="72" t="s">
        <v>2054</v>
      </c>
      <c r="C19" s="72" t="s">
        <v>2057</v>
      </c>
      <c r="E19" s="148"/>
      <c r="F19" s="10" t="s">
        <v>129</v>
      </c>
      <c r="G19" s="68" t="s">
        <v>2075</v>
      </c>
    </row>
    <row r="20" spans="1:8" ht="16.5" x14ac:dyDescent="0.2">
      <c r="A20" s="145" t="s">
        <v>125</v>
      </c>
      <c r="B20" s="72" t="s">
        <v>2055</v>
      </c>
      <c r="C20" s="72" t="s">
        <v>2057</v>
      </c>
      <c r="D20" s="68"/>
      <c r="E20" s="148"/>
      <c r="F20" s="10" t="s">
        <v>129</v>
      </c>
    </row>
    <row r="21" spans="1:8" ht="51" x14ac:dyDescent="0.2">
      <c r="A21" s="145" t="s">
        <v>125</v>
      </c>
      <c r="B21" s="72" t="s">
        <v>2056</v>
      </c>
      <c r="C21" s="72" t="s">
        <v>2057</v>
      </c>
      <c r="E21" s="148"/>
      <c r="F21" s="10" t="s">
        <v>129</v>
      </c>
      <c r="G21" s="68" t="s">
        <v>2076</v>
      </c>
    </row>
    <row r="22" spans="1:8" ht="63.75" x14ac:dyDescent="0.2">
      <c r="A22" s="145" t="s">
        <v>135</v>
      </c>
      <c r="B22" s="72" t="s">
        <v>2066</v>
      </c>
      <c r="C22" s="72" t="s">
        <v>2057</v>
      </c>
      <c r="E22" s="148" t="s">
        <v>2061</v>
      </c>
      <c r="F22" s="66"/>
      <c r="G22" s="171" t="s">
        <v>2214</v>
      </c>
    </row>
    <row r="23" spans="1:8" ht="63.75" x14ac:dyDescent="0.2">
      <c r="A23" s="145" t="s">
        <v>135</v>
      </c>
      <c r="B23" s="72" t="s">
        <v>2062</v>
      </c>
      <c r="C23" s="72" t="s">
        <v>2065</v>
      </c>
      <c r="E23" s="148"/>
      <c r="F23" s="66"/>
      <c r="G23" s="171" t="s">
        <v>2214</v>
      </c>
    </row>
    <row r="24" spans="1:8" ht="51" x14ac:dyDescent="0.2">
      <c r="A24" s="145" t="s">
        <v>135</v>
      </c>
      <c r="B24" s="72" t="s">
        <v>2063</v>
      </c>
      <c r="C24" s="72" t="s">
        <v>2065</v>
      </c>
      <c r="E24" s="148"/>
      <c r="F24" s="66"/>
      <c r="G24" s="171" t="s">
        <v>2215</v>
      </c>
    </row>
    <row r="25" spans="1:8" ht="63.75" x14ac:dyDescent="0.2">
      <c r="A25" s="145" t="s">
        <v>135</v>
      </c>
      <c r="B25" s="72" t="s">
        <v>2064</v>
      </c>
      <c r="C25" s="72" t="s">
        <v>2065</v>
      </c>
      <c r="E25" s="148"/>
      <c r="F25" s="66"/>
      <c r="G25" s="171" t="s">
        <v>2216</v>
      </c>
    </row>
    <row r="26" spans="1:8" ht="51" x14ac:dyDescent="0.2">
      <c r="A26" s="145" t="s">
        <v>145</v>
      </c>
      <c r="B26" s="72" t="s">
        <v>2070</v>
      </c>
      <c r="C26" s="72" t="s">
        <v>2074</v>
      </c>
      <c r="D26" s="72"/>
      <c r="E26" s="148">
        <v>34902702526</v>
      </c>
      <c r="F26" s="156" t="s">
        <v>148</v>
      </c>
      <c r="G26" s="179" t="s">
        <v>2217</v>
      </c>
      <c r="H26" s="72"/>
    </row>
    <row r="27" spans="1:8" ht="63.75" x14ac:dyDescent="0.2">
      <c r="A27" s="145" t="s">
        <v>145</v>
      </c>
      <c r="B27" s="72" t="s">
        <v>2071</v>
      </c>
      <c r="C27" s="72" t="s">
        <v>2073</v>
      </c>
      <c r="D27" s="72"/>
      <c r="E27" s="148">
        <v>34902702526</v>
      </c>
      <c r="F27" s="156" t="s">
        <v>148</v>
      </c>
      <c r="G27" s="179" t="s">
        <v>2218</v>
      </c>
      <c r="H27" s="72"/>
    </row>
    <row r="28" spans="1:8" ht="51" x14ac:dyDescent="0.2">
      <c r="A28" s="145" t="s">
        <v>145</v>
      </c>
      <c r="B28" s="72" t="s">
        <v>2220</v>
      </c>
      <c r="C28" s="72" t="s">
        <v>2221</v>
      </c>
      <c r="D28" s="72"/>
      <c r="E28" s="148"/>
      <c r="F28" s="156"/>
      <c r="G28" s="179" t="s">
        <v>2222</v>
      </c>
      <c r="H28" s="72"/>
    </row>
    <row r="29" spans="1:8" ht="63.75" x14ac:dyDescent="0.2">
      <c r="A29" s="145" t="s">
        <v>145</v>
      </c>
      <c r="B29" s="72" t="s">
        <v>2072</v>
      </c>
      <c r="C29" s="72" t="s">
        <v>1368</v>
      </c>
      <c r="D29" s="72"/>
      <c r="E29" s="148">
        <v>34902702526</v>
      </c>
      <c r="F29" s="156" t="s">
        <v>148</v>
      </c>
      <c r="G29" s="179" t="s">
        <v>2219</v>
      </c>
      <c r="H29" s="72"/>
    </row>
    <row r="30" spans="1:8" ht="30" x14ac:dyDescent="0.2">
      <c r="A30" s="145" t="s">
        <v>156</v>
      </c>
      <c r="B30" s="72" t="s">
        <v>2058</v>
      </c>
      <c r="C30" s="72"/>
      <c r="D30" s="68"/>
      <c r="E30" s="148" t="s">
        <v>2060</v>
      </c>
      <c r="F30" s="66" t="s">
        <v>159</v>
      </c>
      <c r="G30" s="66"/>
      <c r="H30" s="10" t="s">
        <v>2059</v>
      </c>
    </row>
    <row r="31" spans="1:8" ht="16.5" x14ac:dyDescent="0.2">
      <c r="A31" s="145"/>
      <c r="B31" s="72"/>
      <c r="C31" s="72"/>
      <c r="D31" s="68"/>
      <c r="E31" s="148"/>
      <c r="F31" s="66"/>
      <c r="G31" s="66"/>
    </row>
    <row r="32" spans="1:8" ht="16.5" x14ac:dyDescent="0.2">
      <c r="A32" s="145" t="s">
        <v>180</v>
      </c>
      <c r="B32" s="64" t="s">
        <v>2078</v>
      </c>
      <c r="C32" s="64"/>
      <c r="E32" s="157" t="s">
        <v>2079</v>
      </c>
      <c r="F32" s="10" t="s">
        <v>2082</v>
      </c>
      <c r="H32" s="10" t="s">
        <v>2092</v>
      </c>
    </row>
    <row r="33" spans="1:8" ht="16.5" x14ac:dyDescent="0.2">
      <c r="A33" s="145" t="s">
        <v>180</v>
      </c>
      <c r="B33" s="64" t="s">
        <v>2080</v>
      </c>
      <c r="C33" s="64"/>
      <c r="D33" s="10" t="s">
        <v>1288</v>
      </c>
      <c r="F33" s="10" t="s">
        <v>2081</v>
      </c>
      <c r="H33" s="10" t="s">
        <v>2092</v>
      </c>
    </row>
    <row r="34" spans="1:8" ht="16.5" x14ac:dyDescent="0.25">
      <c r="A34" s="145" t="s">
        <v>191</v>
      </c>
      <c r="B34" s="64" t="s">
        <v>198</v>
      </c>
      <c r="D34" s="158"/>
      <c r="E34" s="64" t="s">
        <v>1290</v>
      </c>
    </row>
    <row r="35" spans="1:8" s="160" customFormat="1" ht="45" x14ac:dyDescent="0.2">
      <c r="A35" s="169" t="s">
        <v>199</v>
      </c>
      <c r="B35" s="144" t="s">
        <v>207</v>
      </c>
      <c r="C35" s="144" t="s">
        <v>208</v>
      </c>
      <c r="D35" s="164" t="s">
        <v>1291</v>
      </c>
      <c r="E35" s="165"/>
    </row>
    <row r="36" spans="1:8" ht="30" x14ac:dyDescent="0.25">
      <c r="A36" s="145" t="s">
        <v>209</v>
      </c>
      <c r="B36" s="64" t="s">
        <v>2083</v>
      </c>
      <c r="C36" s="64" t="s">
        <v>2084</v>
      </c>
      <c r="D36" s="158"/>
      <c r="E36" s="64" t="s">
        <v>2174</v>
      </c>
    </row>
    <row r="37" spans="1:8" ht="16.5" x14ac:dyDescent="0.25">
      <c r="A37" s="145" t="s">
        <v>209</v>
      </c>
      <c r="B37" s="64" t="s">
        <v>2085</v>
      </c>
      <c r="C37" s="64" t="s">
        <v>2087</v>
      </c>
      <c r="D37" s="158"/>
      <c r="E37" s="64" t="s">
        <v>2175</v>
      </c>
      <c r="F37" s="10" t="s">
        <v>2089</v>
      </c>
      <c r="H37" s="10" t="s">
        <v>2101</v>
      </c>
    </row>
    <row r="38" spans="1:8" ht="16.5" x14ac:dyDescent="0.25">
      <c r="A38" s="145" t="s">
        <v>209</v>
      </c>
      <c r="B38" s="64" t="s">
        <v>2086</v>
      </c>
      <c r="C38" s="64"/>
      <c r="D38" s="158"/>
      <c r="E38" s="64" t="s">
        <v>2175</v>
      </c>
      <c r="F38" s="10" t="s">
        <v>2088</v>
      </c>
    </row>
    <row r="39" spans="1:8" ht="33" x14ac:dyDescent="0.25">
      <c r="A39" s="145" t="s">
        <v>219</v>
      </c>
      <c r="B39" s="64" t="s">
        <v>2103</v>
      </c>
      <c r="C39" s="64" t="s">
        <v>225</v>
      </c>
      <c r="D39" s="158"/>
      <c r="E39" s="144" t="s">
        <v>225</v>
      </c>
      <c r="F39" s="10" t="s">
        <v>2102</v>
      </c>
    </row>
    <row r="40" spans="1:8" ht="45" x14ac:dyDescent="0.25">
      <c r="A40" s="145" t="s">
        <v>226</v>
      </c>
      <c r="B40" s="66" t="s">
        <v>2090</v>
      </c>
      <c r="C40" s="66"/>
      <c r="D40" s="158"/>
      <c r="E40" s="144" t="s">
        <v>235</v>
      </c>
      <c r="F40" s="10" t="s">
        <v>2094</v>
      </c>
    </row>
    <row r="41" spans="1:8" ht="45" x14ac:dyDescent="0.25">
      <c r="A41" s="145" t="s">
        <v>226</v>
      </c>
      <c r="B41" s="66" t="s">
        <v>2091</v>
      </c>
      <c r="C41" s="66"/>
      <c r="D41" s="158"/>
      <c r="E41" s="144" t="s">
        <v>235</v>
      </c>
      <c r="F41" s="10" t="s">
        <v>2093</v>
      </c>
    </row>
    <row r="42" spans="1:8" ht="33" x14ac:dyDescent="0.25">
      <c r="A42" s="145" t="s">
        <v>236</v>
      </c>
      <c r="B42" s="64" t="s">
        <v>2104</v>
      </c>
      <c r="C42" s="64"/>
      <c r="D42" s="158"/>
      <c r="E42" s="64" t="s">
        <v>244</v>
      </c>
      <c r="F42" s="64" t="s">
        <v>243</v>
      </c>
    </row>
    <row r="43" spans="1:8" ht="16.5" x14ac:dyDescent="0.2">
      <c r="A43" s="145" t="s">
        <v>245</v>
      </c>
      <c r="B43" s="66" t="s">
        <v>2095</v>
      </c>
      <c r="C43" s="66"/>
      <c r="D43" s="151"/>
      <c r="E43" s="66" t="s">
        <v>254</v>
      </c>
      <c r="F43" s="10" t="s">
        <v>2097</v>
      </c>
      <c r="G43" s="10" t="s">
        <v>2099</v>
      </c>
    </row>
    <row r="44" spans="1:8" ht="16.5" x14ac:dyDescent="0.2">
      <c r="A44" s="145" t="s">
        <v>245</v>
      </c>
      <c r="B44" s="66" t="s">
        <v>2096</v>
      </c>
      <c r="C44" s="66"/>
      <c r="D44" s="151"/>
      <c r="E44" s="66" t="s">
        <v>254</v>
      </c>
      <c r="F44" s="10" t="s">
        <v>2098</v>
      </c>
      <c r="G44" s="10" t="s">
        <v>2100</v>
      </c>
    </row>
    <row r="45" spans="1:8" ht="30" x14ac:dyDescent="0.25">
      <c r="A45" s="145" t="s">
        <v>255</v>
      </c>
      <c r="B45" s="64" t="s">
        <v>2105</v>
      </c>
      <c r="C45" s="64" t="s">
        <v>2108</v>
      </c>
      <c r="D45" s="158"/>
    </row>
    <row r="46" spans="1:8" ht="16.5" x14ac:dyDescent="0.25">
      <c r="A46" s="145" t="s">
        <v>255</v>
      </c>
      <c r="B46" s="64" t="s">
        <v>2106</v>
      </c>
      <c r="C46" s="64" t="s">
        <v>2109</v>
      </c>
      <c r="D46" s="158"/>
    </row>
    <row r="47" spans="1:8" ht="16.5" x14ac:dyDescent="0.25">
      <c r="A47" s="145" t="s">
        <v>255</v>
      </c>
      <c r="B47" s="64" t="s">
        <v>2107</v>
      </c>
      <c r="C47" s="64"/>
      <c r="D47" s="158"/>
      <c r="E47" s="157" t="s">
        <v>2110</v>
      </c>
    </row>
    <row r="48" spans="1:8" ht="16.5" x14ac:dyDescent="0.2">
      <c r="A48" s="145" t="s">
        <v>263</v>
      </c>
      <c r="B48" s="64" t="s">
        <v>2111</v>
      </c>
      <c r="C48" s="64" t="s">
        <v>2074</v>
      </c>
      <c r="D48" s="159"/>
      <c r="E48" s="64" t="s">
        <v>271</v>
      </c>
      <c r="F48" s="64" t="s">
        <v>2114</v>
      </c>
      <c r="G48" s="10" t="s">
        <v>2118</v>
      </c>
    </row>
    <row r="49" spans="1:7" ht="16.5" x14ac:dyDescent="0.2">
      <c r="A49" s="145" t="s">
        <v>263</v>
      </c>
      <c r="B49" s="64" t="s">
        <v>2112</v>
      </c>
      <c r="C49" s="64" t="s">
        <v>2074</v>
      </c>
      <c r="D49" s="159"/>
      <c r="E49" s="64" t="s">
        <v>271</v>
      </c>
      <c r="F49" s="64" t="s">
        <v>2115</v>
      </c>
      <c r="G49" s="10" t="s">
        <v>2117</v>
      </c>
    </row>
    <row r="50" spans="1:7" ht="16.5" x14ac:dyDescent="0.2">
      <c r="A50" s="145" t="s">
        <v>263</v>
      </c>
      <c r="B50" s="64" t="s">
        <v>2113</v>
      </c>
      <c r="C50" s="10" t="s">
        <v>2120</v>
      </c>
      <c r="D50" s="159"/>
      <c r="E50" s="64" t="s">
        <v>271</v>
      </c>
      <c r="F50" s="64" t="s">
        <v>2116</v>
      </c>
      <c r="G50" s="10" t="s">
        <v>2119</v>
      </c>
    </row>
    <row r="51" spans="1:7" ht="16.5" x14ac:dyDescent="0.2">
      <c r="A51" s="145" t="s">
        <v>275</v>
      </c>
      <c r="B51" s="64" t="s">
        <v>2121</v>
      </c>
      <c r="C51" s="64"/>
      <c r="D51" s="159"/>
      <c r="E51" s="157" t="s">
        <v>2124</v>
      </c>
      <c r="F51" s="159" t="s">
        <v>2125</v>
      </c>
      <c r="G51" s="159" t="s">
        <v>1297</v>
      </c>
    </row>
    <row r="52" spans="1:7" ht="16.5" x14ac:dyDescent="0.2">
      <c r="A52" s="145" t="s">
        <v>275</v>
      </c>
      <c r="B52" s="64" t="s">
        <v>2122</v>
      </c>
      <c r="C52" s="64"/>
      <c r="D52" s="159"/>
      <c r="E52" s="157" t="s">
        <v>2123</v>
      </c>
      <c r="F52" s="10" t="s">
        <v>2126</v>
      </c>
    </row>
    <row r="53" spans="1:7" ht="16.5" x14ac:dyDescent="0.25">
      <c r="A53" s="145" t="s">
        <v>284</v>
      </c>
      <c r="B53" s="64" t="s">
        <v>2127</v>
      </c>
      <c r="D53" s="158"/>
      <c r="E53" s="64" t="s">
        <v>292</v>
      </c>
      <c r="F53" s="10" t="s">
        <v>2128</v>
      </c>
    </row>
    <row r="54" spans="1:7" ht="30" x14ac:dyDescent="0.25">
      <c r="A54" s="145" t="s">
        <v>293</v>
      </c>
      <c r="B54" s="66" t="s">
        <v>300</v>
      </c>
      <c r="C54" s="73"/>
      <c r="D54" s="158"/>
    </row>
    <row r="55" spans="1:7" s="160" customFormat="1" ht="30" x14ac:dyDescent="0.25">
      <c r="A55" s="169" t="s">
        <v>301</v>
      </c>
      <c r="B55" s="144" t="s">
        <v>307</v>
      </c>
      <c r="D55" s="161"/>
      <c r="E55" s="144" t="s">
        <v>308</v>
      </c>
    </row>
    <row r="56" spans="1:7" ht="49.5" x14ac:dyDescent="0.25">
      <c r="A56" s="145" t="s">
        <v>309</v>
      </c>
      <c r="B56" s="64" t="s">
        <v>2131</v>
      </c>
      <c r="D56" s="158"/>
      <c r="E56" s="64" t="s">
        <v>317</v>
      </c>
      <c r="F56" s="10" t="s">
        <v>2130</v>
      </c>
    </row>
    <row r="57" spans="1:7" ht="16.5" x14ac:dyDescent="0.25">
      <c r="A57" s="145" t="s">
        <v>318</v>
      </c>
      <c r="B57" s="64" t="s">
        <v>2173</v>
      </c>
      <c r="D57" s="158"/>
      <c r="E57" s="64" t="s">
        <v>326</v>
      </c>
      <c r="F57" s="64" t="s">
        <v>325</v>
      </c>
    </row>
    <row r="58" spans="1:7" ht="16.5" x14ac:dyDescent="0.25">
      <c r="A58" s="145" t="s">
        <v>327</v>
      </c>
      <c r="B58" s="64" t="s">
        <v>2132</v>
      </c>
      <c r="D58" s="158"/>
      <c r="E58" s="64" t="s">
        <v>335</v>
      </c>
      <c r="F58" s="10" t="s">
        <v>2129</v>
      </c>
    </row>
    <row r="59" spans="1:7" s="160" customFormat="1" ht="16.5" x14ac:dyDescent="0.25">
      <c r="A59" s="169" t="s">
        <v>336</v>
      </c>
      <c r="B59" s="144" t="s">
        <v>2134</v>
      </c>
      <c r="D59" s="161"/>
      <c r="E59" s="144" t="s">
        <v>345</v>
      </c>
      <c r="F59" s="162" t="s">
        <v>2133</v>
      </c>
    </row>
    <row r="60" spans="1:7" ht="16.5" x14ac:dyDescent="0.25">
      <c r="A60" s="145" t="s">
        <v>346</v>
      </c>
      <c r="B60" s="64" t="s">
        <v>2134</v>
      </c>
      <c r="C60" s="78"/>
      <c r="D60" s="158"/>
      <c r="E60" s="64" t="s">
        <v>345</v>
      </c>
      <c r="F60" s="159" t="s">
        <v>2133</v>
      </c>
    </row>
    <row r="61" spans="1:7" ht="25.5" x14ac:dyDescent="0.2">
      <c r="A61" s="145" t="s">
        <v>349</v>
      </c>
      <c r="B61" s="73" t="s">
        <v>2172</v>
      </c>
      <c r="E61" s="73" t="s">
        <v>356</v>
      </c>
      <c r="G61" s="68" t="s">
        <v>1298</v>
      </c>
    </row>
    <row r="62" spans="1:7" ht="16.5" x14ac:dyDescent="0.2">
      <c r="A62" s="145" t="s">
        <v>357</v>
      </c>
      <c r="B62" s="64" t="s">
        <v>1085</v>
      </c>
      <c r="E62" s="64" t="s">
        <v>2171</v>
      </c>
      <c r="G62" s="10" t="s">
        <v>1299</v>
      </c>
    </row>
    <row r="63" spans="1:7" ht="16.5" x14ac:dyDescent="0.2">
      <c r="A63" s="145" t="s">
        <v>357</v>
      </c>
      <c r="B63" s="64" t="s">
        <v>2135</v>
      </c>
      <c r="C63" s="10" t="s">
        <v>2163</v>
      </c>
      <c r="E63" s="64" t="s">
        <v>2171</v>
      </c>
    </row>
    <row r="64" spans="1:7" ht="16.5" x14ac:dyDescent="0.2">
      <c r="A64" s="145" t="s">
        <v>357</v>
      </c>
      <c r="B64" s="64" t="s">
        <v>2136</v>
      </c>
      <c r="E64" s="64" t="s">
        <v>2171</v>
      </c>
    </row>
    <row r="65" spans="1:7" ht="16.5" x14ac:dyDescent="0.2">
      <c r="A65" s="145" t="s">
        <v>365</v>
      </c>
      <c r="B65" s="66" t="s">
        <v>371</v>
      </c>
      <c r="E65" s="73"/>
      <c r="G65" s="136"/>
    </row>
    <row r="66" spans="1:7" ht="16.5" x14ac:dyDescent="0.2">
      <c r="A66" s="145" t="s">
        <v>372</v>
      </c>
      <c r="B66" s="66" t="s">
        <v>2139</v>
      </c>
      <c r="E66" s="66" t="s">
        <v>378</v>
      </c>
      <c r="F66" s="66" t="s">
        <v>377</v>
      </c>
      <c r="G66" s="10" t="s">
        <v>1300</v>
      </c>
    </row>
    <row r="67" spans="1:7" ht="16.5" x14ac:dyDescent="0.25">
      <c r="A67" s="145" t="s">
        <v>379</v>
      </c>
      <c r="B67" s="66" t="s">
        <v>2137</v>
      </c>
      <c r="D67" s="158"/>
      <c r="E67" s="66" t="s">
        <v>388</v>
      </c>
    </row>
    <row r="68" spans="1:7" ht="30" x14ac:dyDescent="0.25">
      <c r="A68" s="145" t="s">
        <v>379</v>
      </c>
      <c r="B68" s="66" t="s">
        <v>2138</v>
      </c>
      <c r="D68" s="158"/>
      <c r="E68" s="66" t="s">
        <v>388</v>
      </c>
    </row>
    <row r="69" spans="1:7" ht="16.5" x14ac:dyDescent="0.25">
      <c r="A69" s="145" t="s">
        <v>389</v>
      </c>
      <c r="B69" s="79" t="s">
        <v>2140</v>
      </c>
      <c r="D69" s="158"/>
      <c r="E69" s="66" t="s">
        <v>398</v>
      </c>
      <c r="F69" s="10" t="s">
        <v>2141</v>
      </c>
    </row>
    <row r="70" spans="1:7" ht="16.5" x14ac:dyDescent="0.25">
      <c r="A70" s="145" t="s">
        <v>399</v>
      </c>
      <c r="B70" s="66" t="s">
        <v>2142</v>
      </c>
      <c r="D70" s="158"/>
      <c r="E70" s="73" t="s">
        <v>406</v>
      </c>
      <c r="F70" s="10" t="s">
        <v>2147</v>
      </c>
    </row>
    <row r="71" spans="1:7" ht="16.5" x14ac:dyDescent="0.25">
      <c r="A71" s="145" t="s">
        <v>399</v>
      </c>
      <c r="B71" s="66" t="s">
        <v>2143</v>
      </c>
      <c r="C71" s="10" t="s">
        <v>2146</v>
      </c>
      <c r="D71" s="158"/>
      <c r="E71" s="73"/>
    </row>
    <row r="72" spans="1:7" ht="16.5" x14ac:dyDescent="0.25">
      <c r="A72" s="145" t="s">
        <v>399</v>
      </c>
      <c r="B72" s="66" t="s">
        <v>2144</v>
      </c>
      <c r="C72" s="10" t="s">
        <v>2145</v>
      </c>
      <c r="D72" s="158"/>
      <c r="E72" s="73"/>
    </row>
    <row r="73" spans="1:7" ht="16.5" x14ac:dyDescent="0.25">
      <c r="A73" s="145" t="s">
        <v>407</v>
      </c>
      <c r="B73" s="64" t="s">
        <v>2148</v>
      </c>
      <c r="D73" s="158"/>
      <c r="E73" s="64"/>
      <c r="F73" s="10" t="s">
        <v>2151</v>
      </c>
    </row>
    <row r="74" spans="1:7" ht="16.5" x14ac:dyDescent="0.25">
      <c r="A74" s="145" t="s">
        <v>407</v>
      </c>
      <c r="B74" s="64" t="s">
        <v>2149</v>
      </c>
      <c r="D74" s="158"/>
      <c r="E74" s="64" t="s">
        <v>2154</v>
      </c>
      <c r="F74" s="10" t="s">
        <v>2152</v>
      </c>
    </row>
    <row r="75" spans="1:7" ht="16.5" x14ac:dyDescent="0.25">
      <c r="A75" s="145" t="s">
        <v>407</v>
      </c>
      <c r="B75" s="64" t="s">
        <v>2150</v>
      </c>
      <c r="D75" s="158"/>
      <c r="E75" s="64"/>
      <c r="F75" s="10" t="s">
        <v>2153</v>
      </c>
    </row>
    <row r="76" spans="1:7" ht="25.5" x14ac:dyDescent="0.2">
      <c r="A76" s="145" t="s">
        <v>415</v>
      </c>
      <c r="B76" s="64" t="s">
        <v>2162</v>
      </c>
      <c r="E76" s="64" t="s">
        <v>424</v>
      </c>
      <c r="F76" s="68" t="s">
        <v>1301</v>
      </c>
    </row>
    <row r="77" spans="1:7" ht="25.5" x14ac:dyDescent="0.2">
      <c r="A77" s="145" t="s">
        <v>425</v>
      </c>
      <c r="B77" s="64" t="s">
        <v>2155</v>
      </c>
      <c r="C77" s="10" t="s">
        <v>2156</v>
      </c>
      <c r="D77" s="151"/>
      <c r="E77" s="64" t="s">
        <v>432</v>
      </c>
      <c r="F77" s="151" t="s">
        <v>1302</v>
      </c>
    </row>
    <row r="78" spans="1:7" ht="30" x14ac:dyDescent="0.2">
      <c r="A78" s="145" t="s">
        <v>433</v>
      </c>
      <c r="B78" s="64" t="s">
        <v>2157</v>
      </c>
      <c r="C78" s="10" t="s">
        <v>2160</v>
      </c>
      <c r="E78" s="64" t="s">
        <v>2161</v>
      </c>
    </row>
    <row r="79" spans="1:7" ht="30" x14ac:dyDescent="0.2">
      <c r="A79" s="145" t="s">
        <v>433</v>
      </c>
      <c r="B79" s="64" t="s">
        <v>2158</v>
      </c>
      <c r="E79" s="64" t="s">
        <v>2161</v>
      </c>
    </row>
    <row r="80" spans="1:7" ht="30" x14ac:dyDescent="0.2">
      <c r="A80" s="145" t="s">
        <v>433</v>
      </c>
      <c r="B80" s="64" t="s">
        <v>2159</v>
      </c>
      <c r="E80" s="64" t="s">
        <v>2161</v>
      </c>
    </row>
    <row r="81" spans="1:6" ht="16.5" x14ac:dyDescent="0.2">
      <c r="A81" s="145" t="s">
        <v>508</v>
      </c>
      <c r="B81" s="33" t="s">
        <v>1367</v>
      </c>
      <c r="C81" s="98" t="s">
        <v>1368</v>
      </c>
      <c r="D81" s="100"/>
      <c r="E81" s="33" t="s">
        <v>1370</v>
      </c>
      <c r="F81" s="100" t="s">
        <v>1369</v>
      </c>
    </row>
    <row r="82" spans="1:6" ht="33" x14ac:dyDescent="0.2">
      <c r="A82" s="145" t="s">
        <v>514</v>
      </c>
      <c r="B82" s="33" t="s">
        <v>1374</v>
      </c>
      <c r="C82" s="98" t="s">
        <v>1375</v>
      </c>
      <c r="D82" s="98"/>
      <c r="E82" s="33" t="s">
        <v>1377</v>
      </c>
      <c r="F82" s="98" t="s">
        <v>1376</v>
      </c>
    </row>
    <row r="83" spans="1:6" ht="33" x14ac:dyDescent="0.2">
      <c r="A83" s="145" t="s">
        <v>519</v>
      </c>
      <c r="B83" s="33" t="s">
        <v>1380</v>
      </c>
      <c r="C83" s="98" t="s">
        <v>1381</v>
      </c>
      <c r="D83" s="98"/>
      <c r="E83" s="33" t="s">
        <v>1383</v>
      </c>
      <c r="F83" s="98" t="s">
        <v>1382</v>
      </c>
    </row>
    <row r="84" spans="1:6" ht="16.5" x14ac:dyDescent="0.2">
      <c r="A84" s="145" t="s">
        <v>523</v>
      </c>
      <c r="B84" s="33" t="s">
        <v>1385</v>
      </c>
      <c r="C84" s="98" t="s">
        <v>1386</v>
      </c>
      <c r="D84" s="100"/>
      <c r="E84" s="33" t="s">
        <v>1388</v>
      </c>
      <c r="F84" s="100" t="s">
        <v>1387</v>
      </c>
    </row>
    <row r="85" spans="1:6" ht="16.5" x14ac:dyDescent="0.2">
      <c r="A85" s="145" t="s">
        <v>529</v>
      </c>
      <c r="B85" s="33" t="s">
        <v>1390</v>
      </c>
      <c r="C85" s="98" t="s">
        <v>1391</v>
      </c>
      <c r="D85" s="100"/>
      <c r="E85" s="10" t="s">
        <v>1393</v>
      </c>
      <c r="F85" s="100" t="s">
        <v>1392</v>
      </c>
    </row>
    <row r="86" spans="1:6" ht="16.5" x14ac:dyDescent="0.2">
      <c r="A86" s="145" t="s">
        <v>535</v>
      </c>
      <c r="B86" s="163" t="s">
        <v>1396</v>
      </c>
      <c r="C86" s="98" t="s">
        <v>2170</v>
      </c>
      <c r="D86" s="100"/>
      <c r="E86" s="33" t="s">
        <v>1399</v>
      </c>
      <c r="F86" s="100" t="s">
        <v>1398</v>
      </c>
    </row>
    <row r="87" spans="1:6" ht="16.5" x14ac:dyDescent="0.2">
      <c r="A87" s="145" t="s">
        <v>541</v>
      </c>
      <c r="B87" s="34" t="s">
        <v>2165</v>
      </c>
      <c r="C87" s="34"/>
      <c r="D87" s="98"/>
      <c r="E87" s="33" t="s">
        <v>1403</v>
      </c>
      <c r="F87" s="98" t="s">
        <v>1402</v>
      </c>
    </row>
    <row r="88" spans="1:6" ht="16.5" x14ac:dyDescent="0.2">
      <c r="A88" s="145" t="s">
        <v>545</v>
      </c>
      <c r="B88" s="33" t="s">
        <v>1406</v>
      </c>
      <c r="C88" s="98" t="s">
        <v>1407</v>
      </c>
      <c r="D88" s="98"/>
      <c r="E88" s="33" t="s">
        <v>1409</v>
      </c>
      <c r="F88" s="98" t="s">
        <v>1408</v>
      </c>
    </row>
    <row r="89" spans="1:6" ht="16.5" x14ac:dyDescent="0.2">
      <c r="A89" s="145" t="s">
        <v>550</v>
      </c>
      <c r="B89" s="34" t="s">
        <v>2164</v>
      </c>
      <c r="C89" s="34"/>
      <c r="D89" s="98"/>
      <c r="E89" s="33" t="s">
        <v>1412</v>
      </c>
      <c r="F89" s="98" t="s">
        <v>1411</v>
      </c>
    </row>
    <row r="90" spans="1:6" ht="33" x14ac:dyDescent="0.2">
      <c r="A90" s="145" t="s">
        <v>554</v>
      </c>
      <c r="B90" s="33" t="s">
        <v>1415</v>
      </c>
      <c r="C90" s="98" t="s">
        <v>1416</v>
      </c>
      <c r="D90" s="33"/>
      <c r="E90" s="33" t="s">
        <v>1418</v>
      </c>
      <c r="F90" s="33" t="s">
        <v>1417</v>
      </c>
    </row>
    <row r="91" spans="1:6" ht="16.5" x14ac:dyDescent="0.2">
      <c r="A91" s="145" t="s">
        <v>557</v>
      </c>
      <c r="B91" s="33" t="s">
        <v>1420</v>
      </c>
      <c r="C91" s="98" t="s">
        <v>1421</v>
      </c>
      <c r="D91" s="33"/>
      <c r="E91" s="33" t="s">
        <v>1423</v>
      </c>
      <c r="F91" s="33" t="s">
        <v>1422</v>
      </c>
    </row>
    <row r="92" spans="1:6" ht="16.5" x14ac:dyDescent="0.2">
      <c r="A92" s="145" t="s">
        <v>563</v>
      </c>
      <c r="B92" s="104" t="s">
        <v>2166</v>
      </c>
      <c r="C92" s="104"/>
      <c r="D92" s="103"/>
      <c r="E92" s="103" t="s">
        <v>1426</v>
      </c>
      <c r="F92" s="103" t="s">
        <v>1425</v>
      </c>
    </row>
    <row r="93" spans="1:6" ht="33" x14ac:dyDescent="0.2">
      <c r="A93" s="145" t="s">
        <v>568</v>
      </c>
      <c r="B93" s="34" t="s">
        <v>2167</v>
      </c>
      <c r="C93" s="34"/>
      <c r="D93" s="33"/>
      <c r="E93" s="33" t="s">
        <v>1430</v>
      </c>
      <c r="F93" s="33" t="s">
        <v>1429</v>
      </c>
    </row>
    <row r="94" spans="1:6" ht="16.5" x14ac:dyDescent="0.2">
      <c r="A94" s="145" t="s">
        <v>571</v>
      </c>
      <c r="B94" s="34" t="s">
        <v>2168</v>
      </c>
      <c r="C94" s="34"/>
      <c r="D94" s="33"/>
      <c r="E94" s="33" t="s">
        <v>1433</v>
      </c>
      <c r="F94" s="33" t="s">
        <v>1432</v>
      </c>
    </row>
    <row r="95" spans="1:6" ht="16.5" x14ac:dyDescent="0.2">
      <c r="A95" s="145" t="s">
        <v>574</v>
      </c>
      <c r="B95" s="104" t="s">
        <v>2169</v>
      </c>
      <c r="C95" s="104"/>
      <c r="D95" s="103"/>
      <c r="E95" s="103" t="s">
        <v>1437</v>
      </c>
      <c r="F95" s="103" t="s">
        <v>1437</v>
      </c>
    </row>
    <row r="96" spans="1:6" ht="45" x14ac:dyDescent="0.2">
      <c r="A96" s="20" t="s">
        <v>443</v>
      </c>
      <c r="B96" s="21" t="s">
        <v>2178</v>
      </c>
      <c r="E96" s="20" t="s">
        <v>445</v>
      </c>
      <c r="F96" s="22" t="s">
        <v>446</v>
      </c>
    </row>
    <row r="97" spans="1:8" ht="45" x14ac:dyDescent="0.2">
      <c r="A97" s="20" t="s">
        <v>443</v>
      </c>
      <c r="B97" s="21" t="s">
        <v>2179</v>
      </c>
      <c r="E97" s="20" t="s">
        <v>445</v>
      </c>
    </row>
    <row r="98" spans="1:8" ht="30" x14ac:dyDescent="0.2">
      <c r="A98" s="20" t="s">
        <v>448</v>
      </c>
      <c r="B98" s="21" t="s">
        <v>2177</v>
      </c>
      <c r="C98" s="10" t="s">
        <v>2176</v>
      </c>
      <c r="E98" s="20" t="s">
        <v>450</v>
      </c>
      <c r="F98" t="s">
        <v>1306</v>
      </c>
    </row>
    <row r="99" spans="1:8" ht="30" x14ac:dyDescent="0.2">
      <c r="A99" s="20" t="s">
        <v>451</v>
      </c>
      <c r="B99" s="21" t="s">
        <v>2203</v>
      </c>
      <c r="D99" s="86" t="s">
        <v>1310</v>
      </c>
      <c r="E99" t="s">
        <v>1309</v>
      </c>
      <c r="H99" s="10" t="s">
        <v>2205</v>
      </c>
    </row>
    <row r="100" spans="1:8" ht="30" x14ac:dyDescent="0.2">
      <c r="A100" s="20" t="s">
        <v>453</v>
      </c>
      <c r="B100" s="91" t="s">
        <v>2206</v>
      </c>
      <c r="C100" s="10" t="s">
        <v>2183</v>
      </c>
      <c r="E100" t="s">
        <v>1314</v>
      </c>
    </row>
    <row r="101" spans="1:8" ht="15" x14ac:dyDescent="0.2">
      <c r="A101" s="20" t="s">
        <v>454</v>
      </c>
      <c r="B101" s="86" t="s">
        <v>2207</v>
      </c>
      <c r="C101" s="10" t="s">
        <v>2180</v>
      </c>
    </row>
    <row r="102" spans="1:8" ht="30" x14ac:dyDescent="0.2">
      <c r="A102" s="20" t="s">
        <v>455</v>
      </c>
      <c r="B102" s="86" t="s">
        <v>2208</v>
      </c>
      <c r="C102" s="10" t="s">
        <v>2181</v>
      </c>
      <c r="E102" t="s">
        <v>1320</v>
      </c>
    </row>
    <row r="103" spans="1:8" ht="15" x14ac:dyDescent="0.2">
      <c r="A103" s="20" t="s">
        <v>456</v>
      </c>
      <c r="B103" s="86" t="s">
        <v>2209</v>
      </c>
      <c r="C103" s="10" t="s">
        <v>2184</v>
      </c>
      <c r="D103" s="88" t="s">
        <v>2211</v>
      </c>
      <c r="E103" t="s">
        <v>1325</v>
      </c>
    </row>
    <row r="104" spans="1:8" ht="30" x14ac:dyDescent="0.2">
      <c r="A104" s="20" t="s">
        <v>457</v>
      </c>
      <c r="B104" s="21" t="s">
        <v>458</v>
      </c>
      <c r="E104" s="25" t="s">
        <v>459</v>
      </c>
    </row>
    <row r="105" spans="1:8" ht="15" x14ac:dyDescent="0.2">
      <c r="A105" s="20" t="s">
        <v>460</v>
      </c>
      <c r="B105" s="21" t="s">
        <v>2185</v>
      </c>
      <c r="E105" s="172" t="s">
        <v>1329</v>
      </c>
    </row>
    <row r="106" spans="1:8" ht="15" x14ac:dyDescent="0.2">
      <c r="A106" s="20" t="s">
        <v>460</v>
      </c>
      <c r="B106" s="21" t="s">
        <v>2186</v>
      </c>
      <c r="E106" s="172" t="s">
        <v>1329</v>
      </c>
    </row>
    <row r="107" spans="1:8" ht="15" x14ac:dyDescent="0.2">
      <c r="A107" s="20" t="s">
        <v>460</v>
      </c>
      <c r="B107" s="21" t="s">
        <v>2182</v>
      </c>
      <c r="E107" s="172" t="s">
        <v>1329</v>
      </c>
    </row>
    <row r="108" spans="1:8" ht="15" x14ac:dyDescent="0.2">
      <c r="A108" s="20" t="s">
        <v>462</v>
      </c>
      <c r="B108" s="21" t="s">
        <v>2192</v>
      </c>
      <c r="C108" s="10" t="s">
        <v>2187</v>
      </c>
    </row>
    <row r="109" spans="1:8" ht="15" x14ac:dyDescent="0.2">
      <c r="A109" s="20" t="s">
        <v>462</v>
      </c>
      <c r="B109" s="21" t="s">
        <v>2193</v>
      </c>
      <c r="C109" s="10" t="s">
        <v>1934</v>
      </c>
      <c r="E109" s="170" t="s">
        <v>464</v>
      </c>
      <c r="F109" s="10" t="s">
        <v>465</v>
      </c>
    </row>
    <row r="110" spans="1:8" ht="15" x14ac:dyDescent="0.2">
      <c r="A110" s="20" t="s">
        <v>462</v>
      </c>
      <c r="B110" s="21" t="s">
        <v>2194</v>
      </c>
      <c r="C110" s="10" t="s">
        <v>1934</v>
      </c>
    </row>
    <row r="111" spans="1:8" ht="30" x14ac:dyDescent="0.2">
      <c r="A111" s="20" t="s">
        <v>466</v>
      </c>
      <c r="B111" s="21" t="s">
        <v>467</v>
      </c>
      <c r="E111" s="172" t="s">
        <v>1334</v>
      </c>
    </row>
    <row r="112" spans="1:8" ht="30" x14ac:dyDescent="0.2">
      <c r="A112" s="20" t="s">
        <v>466</v>
      </c>
      <c r="B112" s="21" t="s">
        <v>2195</v>
      </c>
      <c r="C112" s="10" t="s">
        <v>2188</v>
      </c>
      <c r="E112" s="172" t="s">
        <v>1334</v>
      </c>
    </row>
    <row r="113" spans="1:8" ht="15" x14ac:dyDescent="0.2">
      <c r="A113" s="20" t="s">
        <v>468</v>
      </c>
      <c r="B113" s="21" t="s">
        <v>2196</v>
      </c>
      <c r="C113" s="10" t="s">
        <v>2189</v>
      </c>
      <c r="E113" s="157" t="s">
        <v>2212</v>
      </c>
      <c r="F113" s="21" t="s">
        <v>471</v>
      </c>
    </row>
    <row r="114" spans="1:8" ht="15" x14ac:dyDescent="0.2">
      <c r="A114" s="20" t="s">
        <v>473</v>
      </c>
      <c r="B114" s="86" t="s">
        <v>2210</v>
      </c>
      <c r="C114" s="10" t="s">
        <v>2180</v>
      </c>
      <c r="E114" s="172" t="s">
        <v>1339</v>
      </c>
      <c r="F114" s="86" t="s">
        <v>1340</v>
      </c>
    </row>
    <row r="115" spans="1:8" ht="15" x14ac:dyDescent="0.2">
      <c r="A115" s="20" t="s">
        <v>473</v>
      </c>
      <c r="B115" s="86" t="s">
        <v>2197</v>
      </c>
      <c r="E115" s="172" t="s">
        <v>1339</v>
      </c>
      <c r="F115" s="86" t="s">
        <v>1340</v>
      </c>
    </row>
    <row r="116" spans="1:8" ht="30" x14ac:dyDescent="0.2">
      <c r="A116" s="20" t="s">
        <v>474</v>
      </c>
      <c r="B116" s="86" t="s">
        <v>2198</v>
      </c>
      <c r="C116" s="10" t="s">
        <v>2188</v>
      </c>
      <c r="E116" s="20" t="s">
        <v>476</v>
      </c>
      <c r="F116" t="s">
        <v>1343</v>
      </c>
    </row>
    <row r="117" spans="1:8" ht="30" x14ac:dyDescent="0.2">
      <c r="A117" s="20" t="s">
        <v>474</v>
      </c>
      <c r="B117" s="86" t="s">
        <v>475</v>
      </c>
      <c r="E117" s="20" t="s">
        <v>476</v>
      </c>
      <c r="F117" t="s">
        <v>1343</v>
      </c>
    </row>
    <row r="118" spans="1:8" ht="15" x14ac:dyDescent="0.2">
      <c r="A118" s="20" t="s">
        <v>478</v>
      </c>
      <c r="B118" s="97" t="s">
        <v>2199</v>
      </c>
      <c r="C118" s="10" t="s">
        <v>2190</v>
      </c>
    </row>
    <row r="119" spans="1:8" ht="15" x14ac:dyDescent="0.2">
      <c r="A119" s="20" t="s">
        <v>478</v>
      </c>
      <c r="B119" s="97" t="s">
        <v>479</v>
      </c>
      <c r="D119" s="86" t="s">
        <v>1347</v>
      </c>
      <c r="E119" s="173" t="s">
        <v>480</v>
      </c>
      <c r="F119" s="22" t="s">
        <v>481</v>
      </c>
    </row>
    <row r="120" spans="1:8" ht="30" x14ac:dyDescent="0.2">
      <c r="A120" s="20" t="s">
        <v>482</v>
      </c>
      <c r="B120" s="21" t="s">
        <v>483</v>
      </c>
      <c r="D120" s="86" t="s">
        <v>1351</v>
      </c>
      <c r="E120" s="20" t="s">
        <v>484</v>
      </c>
      <c r="F120" s="22" t="s">
        <v>485</v>
      </c>
    </row>
    <row r="121" spans="1:8" ht="30" x14ac:dyDescent="0.2">
      <c r="A121" s="20" t="s">
        <v>486</v>
      </c>
      <c r="B121" s="86" t="s">
        <v>2200</v>
      </c>
      <c r="C121" s="10" t="s">
        <v>1368</v>
      </c>
      <c r="E121" s="172" t="s">
        <v>1353</v>
      </c>
    </row>
    <row r="122" spans="1:8" ht="30" x14ac:dyDescent="0.2">
      <c r="A122" s="20" t="s">
        <v>486</v>
      </c>
      <c r="B122" s="86" t="s">
        <v>2201</v>
      </c>
      <c r="C122" s="10" t="s">
        <v>2188</v>
      </c>
      <c r="E122" s="172" t="s">
        <v>1353</v>
      </c>
    </row>
    <row r="123" spans="1:8" ht="25.5" x14ac:dyDescent="0.2">
      <c r="A123" s="20" t="s">
        <v>487</v>
      </c>
      <c r="B123" s="21" t="s">
        <v>2202</v>
      </c>
      <c r="C123" s="10" t="s">
        <v>2191</v>
      </c>
      <c r="E123" s="177" t="s">
        <v>2213</v>
      </c>
      <c r="F123" s="159" t="s">
        <v>490</v>
      </c>
    </row>
    <row r="124" spans="1:8" ht="30" x14ac:dyDescent="0.2">
      <c r="A124" s="20" t="s">
        <v>491</v>
      </c>
      <c r="B124" s="21" t="s">
        <v>492</v>
      </c>
      <c r="E124" t="s">
        <v>1357</v>
      </c>
    </row>
    <row r="125" spans="1:8" ht="15" x14ac:dyDescent="0.2">
      <c r="A125" s="20" t="s">
        <v>493</v>
      </c>
      <c r="B125" s="21" t="s">
        <v>494</v>
      </c>
      <c r="E125" s="20" t="s">
        <v>495</v>
      </c>
      <c r="F125" s="21" t="s">
        <v>496</v>
      </c>
    </row>
    <row r="126" spans="1:8" ht="30" x14ac:dyDescent="0.2">
      <c r="A126" s="20" t="s">
        <v>498</v>
      </c>
      <c r="B126" s="21" t="s">
        <v>499</v>
      </c>
      <c r="E126" s="20">
        <v>914238690</v>
      </c>
      <c r="F126" s="22" t="s">
        <v>500</v>
      </c>
    </row>
    <row r="127" spans="1:8" ht="30" x14ac:dyDescent="0.2">
      <c r="A127" s="20" t="s">
        <v>501</v>
      </c>
      <c r="B127" s="21" t="s">
        <v>502</v>
      </c>
      <c r="D127" t="s">
        <v>1363</v>
      </c>
      <c r="E127" s="20" t="s">
        <v>503</v>
      </c>
    </row>
    <row r="128" spans="1:8" ht="38.25" x14ac:dyDescent="0.2">
      <c r="A128" s="20" t="s">
        <v>656</v>
      </c>
      <c r="F128" s="6" t="s">
        <v>1442</v>
      </c>
      <c r="G128" s="130" t="s">
        <v>1912</v>
      </c>
      <c r="H128" s="7" t="s">
        <v>1443</v>
      </c>
    </row>
    <row r="129" spans="1:9" ht="15" x14ac:dyDescent="0.2">
      <c r="A129" s="20" t="s">
        <v>658</v>
      </c>
      <c r="F129" s="8" t="s">
        <v>1447</v>
      </c>
      <c r="G129" s="131" t="s">
        <v>1913</v>
      </c>
      <c r="H129" s="7"/>
    </row>
    <row r="130" spans="1:9" ht="15" x14ac:dyDescent="0.2">
      <c r="A130" s="20" t="s">
        <v>660</v>
      </c>
      <c r="F130" s="8" t="s">
        <v>1451</v>
      </c>
      <c r="G130" s="5"/>
      <c r="H130" s="7"/>
    </row>
    <row r="131" spans="1:9" ht="15" x14ac:dyDescent="0.2">
      <c r="A131" s="20" t="s">
        <v>662</v>
      </c>
      <c r="F131" s="117" t="s">
        <v>1455</v>
      </c>
      <c r="G131" s="115"/>
      <c r="H131" s="118" t="s">
        <v>664</v>
      </c>
      <c r="I131" s="10">
        <v>1</v>
      </c>
    </row>
    <row r="132" spans="1:9" ht="15" x14ac:dyDescent="0.2">
      <c r="A132" s="20" t="s">
        <v>2224</v>
      </c>
      <c r="F132" s="116"/>
      <c r="G132" s="115" t="s">
        <v>666</v>
      </c>
      <c r="H132" s="181" t="s">
        <v>2384</v>
      </c>
      <c r="I132" s="10">
        <v>1</v>
      </c>
    </row>
    <row r="133" spans="1:9" ht="15" x14ac:dyDescent="0.2">
      <c r="A133" s="20" t="s">
        <v>2225</v>
      </c>
      <c r="F133" s="6"/>
      <c r="G133" s="5" t="s">
        <v>669</v>
      </c>
      <c r="H133" s="7" t="s">
        <v>670</v>
      </c>
    </row>
    <row r="134" spans="1:9" ht="25.5" x14ac:dyDescent="0.2">
      <c r="A134" s="20" t="s">
        <v>671</v>
      </c>
      <c r="F134" s="6"/>
      <c r="G134" s="5"/>
      <c r="H134" s="7" t="s">
        <v>673</v>
      </c>
    </row>
    <row r="135" spans="1:9" ht="15" x14ac:dyDescent="0.2">
      <c r="A135" s="20" t="s">
        <v>674</v>
      </c>
      <c r="F135" s="6"/>
      <c r="G135" s="5" t="s">
        <v>675</v>
      </c>
      <c r="H135" s="7"/>
    </row>
    <row r="136" spans="1:9" ht="25.5" x14ac:dyDescent="0.2">
      <c r="A136" s="20" t="s">
        <v>2226</v>
      </c>
      <c r="F136" s="116"/>
      <c r="G136" s="115" t="s">
        <v>677</v>
      </c>
      <c r="H136" s="118" t="s">
        <v>680</v>
      </c>
      <c r="I136" s="10">
        <v>1</v>
      </c>
    </row>
    <row r="137" spans="1:9" ht="15" x14ac:dyDescent="0.2">
      <c r="A137" s="20" t="s">
        <v>2227</v>
      </c>
      <c r="F137" s="6"/>
      <c r="G137" s="5" t="s">
        <v>682</v>
      </c>
      <c r="H137" s="7" t="s">
        <v>685</v>
      </c>
    </row>
    <row r="138" spans="1:9" ht="15" x14ac:dyDescent="0.2">
      <c r="A138" s="20" t="s">
        <v>2228</v>
      </c>
      <c r="F138" s="6"/>
      <c r="G138" s="5" t="s">
        <v>687</v>
      </c>
      <c r="H138" s="7" t="s">
        <v>688</v>
      </c>
    </row>
    <row r="139" spans="1:9" ht="15" x14ac:dyDescent="0.2">
      <c r="A139" s="20" t="s">
        <v>2229</v>
      </c>
      <c r="F139" s="6"/>
      <c r="G139" s="5" t="s">
        <v>690</v>
      </c>
      <c r="H139" s="7" t="s">
        <v>692</v>
      </c>
    </row>
    <row r="140" spans="1:9" ht="25.5" x14ac:dyDescent="0.2">
      <c r="A140" s="20" t="s">
        <v>2230</v>
      </c>
      <c r="F140" s="6"/>
      <c r="G140" s="5" t="s">
        <v>694</v>
      </c>
      <c r="H140" s="180" t="s">
        <v>2372</v>
      </c>
    </row>
    <row r="141" spans="1:9" ht="38.25" x14ac:dyDescent="0.2">
      <c r="A141" s="20" t="s">
        <v>2231</v>
      </c>
      <c r="F141" s="116"/>
      <c r="G141" s="115" t="s">
        <v>697</v>
      </c>
      <c r="H141" s="181" t="s">
        <v>2373</v>
      </c>
      <c r="I141" s="10">
        <v>1</v>
      </c>
    </row>
    <row r="142" spans="1:9" ht="15" x14ac:dyDescent="0.2">
      <c r="A142" s="20" t="s">
        <v>2232</v>
      </c>
      <c r="F142" s="121" t="s">
        <v>1482</v>
      </c>
      <c r="G142" s="115" t="s">
        <v>700</v>
      </c>
      <c r="H142" s="181" t="s">
        <v>2374</v>
      </c>
      <c r="I142" s="10">
        <v>1</v>
      </c>
    </row>
    <row r="143" spans="1:9" ht="25.5" x14ac:dyDescent="0.2">
      <c r="A143" s="20" t="s">
        <v>2233</v>
      </c>
      <c r="F143" s="112" t="s">
        <v>1486</v>
      </c>
      <c r="G143" s="5" t="s">
        <v>704</v>
      </c>
      <c r="H143" s="180" t="s">
        <v>2375</v>
      </c>
    </row>
    <row r="144" spans="1:9" ht="30" x14ac:dyDescent="0.2">
      <c r="A144" s="20" t="s">
        <v>2234</v>
      </c>
      <c r="F144" s="116" t="s">
        <v>1490</v>
      </c>
      <c r="G144" s="115" t="s">
        <v>708</v>
      </c>
      <c r="H144" s="118"/>
      <c r="I144" s="10">
        <v>1</v>
      </c>
    </row>
    <row r="145" spans="1:9" ht="15" x14ac:dyDescent="0.2">
      <c r="A145" s="20" t="s">
        <v>2235</v>
      </c>
      <c r="F145" s="116" t="s">
        <v>1482</v>
      </c>
      <c r="G145" s="115" t="s">
        <v>711</v>
      </c>
      <c r="H145" s="118"/>
      <c r="I145" s="10">
        <v>1</v>
      </c>
    </row>
    <row r="146" spans="1:9" ht="15" x14ac:dyDescent="0.2">
      <c r="A146" s="20" t="s">
        <v>2236</v>
      </c>
      <c r="F146" s="117" t="s">
        <v>1496</v>
      </c>
      <c r="G146" s="115" t="s">
        <v>714</v>
      </c>
      <c r="H146" s="118"/>
      <c r="I146" s="10">
        <v>1</v>
      </c>
    </row>
    <row r="147" spans="1:9" ht="15" x14ac:dyDescent="0.2">
      <c r="A147" s="20" t="s">
        <v>2237</v>
      </c>
      <c r="F147" s="121" t="s">
        <v>1500</v>
      </c>
      <c r="G147" s="115" t="s">
        <v>718</v>
      </c>
      <c r="H147" s="118" t="s">
        <v>721</v>
      </c>
      <c r="I147" s="10">
        <v>1</v>
      </c>
    </row>
    <row r="148" spans="1:9" ht="15" x14ac:dyDescent="0.2">
      <c r="A148" s="20" t="s">
        <v>2238</v>
      </c>
      <c r="F148" s="121" t="s">
        <v>1504</v>
      </c>
      <c r="G148" s="115" t="s">
        <v>723</v>
      </c>
      <c r="H148" s="118" t="s">
        <v>725</v>
      </c>
      <c r="I148" s="10">
        <v>1</v>
      </c>
    </row>
    <row r="149" spans="1:9" ht="15" x14ac:dyDescent="0.2">
      <c r="A149" s="20" t="s">
        <v>2239</v>
      </c>
      <c r="F149" s="117" t="s">
        <v>1508</v>
      </c>
      <c r="G149" s="115" t="s">
        <v>727</v>
      </c>
      <c r="H149" s="181" t="s">
        <v>2376</v>
      </c>
      <c r="I149" s="10">
        <v>1</v>
      </c>
    </row>
    <row r="150" spans="1:9" ht="15" x14ac:dyDescent="0.2">
      <c r="A150" s="20" t="s">
        <v>2240</v>
      </c>
      <c r="F150" s="117" t="s">
        <v>1512</v>
      </c>
      <c r="G150" s="115" t="s">
        <v>730</v>
      </c>
      <c r="H150" s="181" t="s">
        <v>2377</v>
      </c>
      <c r="I150" s="10">
        <v>1</v>
      </c>
    </row>
    <row r="151" spans="1:9" ht="15" x14ac:dyDescent="0.2">
      <c r="A151" s="20" t="s">
        <v>2241</v>
      </c>
      <c r="F151" s="117" t="s">
        <v>1516</v>
      </c>
      <c r="G151" s="115" t="s">
        <v>733</v>
      </c>
      <c r="H151" s="181" t="s">
        <v>2378</v>
      </c>
      <c r="I151" s="10">
        <v>1</v>
      </c>
    </row>
    <row r="152" spans="1:9" ht="25.5" x14ac:dyDescent="0.2">
      <c r="A152" s="20" t="s">
        <v>2242</v>
      </c>
      <c r="F152" s="117" t="s">
        <v>1520</v>
      </c>
      <c r="G152" s="115" t="s">
        <v>736</v>
      </c>
      <c r="H152" s="181" t="s">
        <v>2379</v>
      </c>
      <c r="I152" s="10">
        <v>1</v>
      </c>
    </row>
    <row r="153" spans="1:9" ht="76.5" x14ac:dyDescent="0.2">
      <c r="A153" s="20" t="s">
        <v>739</v>
      </c>
      <c r="F153" s="8" t="s">
        <v>1524</v>
      </c>
      <c r="G153" s="5"/>
      <c r="H153" s="7" t="s">
        <v>741</v>
      </c>
    </row>
    <row r="154" spans="1:9" ht="15" x14ac:dyDescent="0.2">
      <c r="A154" s="20" t="s">
        <v>2243</v>
      </c>
      <c r="F154" s="8" t="s">
        <v>1528</v>
      </c>
      <c r="G154" s="5" t="s">
        <v>743</v>
      </c>
      <c r="H154" s="180" t="s">
        <v>2380</v>
      </c>
    </row>
    <row r="155" spans="1:9" ht="25.5" x14ac:dyDescent="0.2">
      <c r="A155" s="20" t="s">
        <v>2244</v>
      </c>
      <c r="F155" s="6"/>
      <c r="G155" s="5" t="s">
        <v>747</v>
      </c>
      <c r="H155" s="180" t="s">
        <v>2381</v>
      </c>
    </row>
    <row r="156" spans="1:9" ht="15" x14ac:dyDescent="0.2">
      <c r="A156" s="20" t="s">
        <v>2245</v>
      </c>
      <c r="F156" s="117" t="s">
        <v>1534</v>
      </c>
      <c r="G156" s="115" t="s">
        <v>751</v>
      </c>
      <c r="H156" s="118" t="s">
        <v>753</v>
      </c>
      <c r="I156" s="10">
        <v>1</v>
      </c>
    </row>
    <row r="157" spans="1:9" ht="25.5" x14ac:dyDescent="0.2">
      <c r="A157" s="20" t="s">
        <v>754</v>
      </c>
      <c r="F157" s="8" t="s">
        <v>1538</v>
      </c>
      <c r="G157" s="5" t="s">
        <v>755</v>
      </c>
      <c r="H157" s="7" t="s">
        <v>756</v>
      </c>
    </row>
    <row r="158" spans="1:9" ht="15" x14ac:dyDescent="0.2">
      <c r="A158" s="20" t="s">
        <v>2246</v>
      </c>
      <c r="F158" s="116"/>
      <c r="G158" s="115" t="s">
        <v>759</v>
      </c>
      <c r="H158" s="181" t="s">
        <v>2382</v>
      </c>
      <c r="I158" s="10">
        <v>1</v>
      </c>
    </row>
    <row r="159" spans="1:9" ht="15" x14ac:dyDescent="0.2">
      <c r="A159" s="20" t="s">
        <v>2247</v>
      </c>
      <c r="F159" s="8" t="s">
        <v>1544</v>
      </c>
      <c r="G159" s="5" t="s">
        <v>762</v>
      </c>
      <c r="H159" t="s">
        <v>2383</v>
      </c>
    </row>
    <row r="160" spans="1:9" ht="15" x14ac:dyDescent="0.2">
      <c r="A160" s="20" t="s">
        <v>2248</v>
      </c>
      <c r="F160" s="8" t="s">
        <v>1548</v>
      </c>
      <c r="G160" s="5" t="s">
        <v>766</v>
      </c>
      <c r="H160" t="s">
        <v>2384</v>
      </c>
    </row>
    <row r="161" spans="1:9" ht="25.5" x14ac:dyDescent="0.2">
      <c r="A161" s="20" t="s">
        <v>2249</v>
      </c>
      <c r="F161" s="6" t="s">
        <v>1531</v>
      </c>
      <c r="G161" s="5" t="s">
        <v>769</v>
      </c>
      <c r="H161" s="180" t="s">
        <v>2385</v>
      </c>
    </row>
    <row r="162" spans="1:9" ht="15" x14ac:dyDescent="0.2">
      <c r="A162" s="20" t="s">
        <v>772</v>
      </c>
      <c r="F162" s="117" t="s">
        <v>1554</v>
      </c>
      <c r="G162" s="115"/>
      <c r="H162" s="181" t="s">
        <v>2386</v>
      </c>
      <c r="I162" s="10">
        <v>1</v>
      </c>
    </row>
    <row r="163" spans="1:9" ht="15" x14ac:dyDescent="0.2">
      <c r="A163" s="20" t="s">
        <v>775</v>
      </c>
      <c r="F163" s="117" t="s">
        <v>1558</v>
      </c>
      <c r="G163" s="115"/>
      <c r="H163" s="118"/>
      <c r="I163" s="10">
        <v>1</v>
      </c>
    </row>
    <row r="164" spans="1:9" ht="15" x14ac:dyDescent="0.2">
      <c r="A164" s="20" t="s">
        <v>777</v>
      </c>
      <c r="F164" s="8" t="s">
        <v>1562</v>
      </c>
      <c r="G164" s="5"/>
      <c r="H164" s="7"/>
    </row>
    <row r="165" spans="1:9" ht="25.5" x14ac:dyDescent="0.2">
      <c r="A165" s="20" t="s">
        <v>779</v>
      </c>
      <c r="F165" s="8" t="s">
        <v>1566</v>
      </c>
      <c r="G165" s="5" t="s">
        <v>780</v>
      </c>
      <c r="H165" s="7" t="s">
        <v>781</v>
      </c>
    </row>
    <row r="166" spans="1:9" ht="15" x14ac:dyDescent="0.2">
      <c r="A166" s="20" t="s">
        <v>2250</v>
      </c>
      <c r="F166" s="117" t="s">
        <v>1569</v>
      </c>
      <c r="G166" s="115" t="s">
        <v>783</v>
      </c>
      <c r="H166" s="181" t="s">
        <v>2387</v>
      </c>
      <c r="I166" s="10">
        <v>1</v>
      </c>
    </row>
    <row r="167" spans="1:9" ht="38.25" x14ac:dyDescent="0.2">
      <c r="A167" s="20" t="s">
        <v>2251</v>
      </c>
      <c r="F167" s="117" t="s">
        <v>1572</v>
      </c>
      <c r="G167" s="115" t="s">
        <v>785</v>
      </c>
      <c r="H167" s="118" t="s">
        <v>786</v>
      </c>
      <c r="I167" s="10">
        <v>1</v>
      </c>
    </row>
    <row r="168" spans="1:9" ht="25.5" x14ac:dyDescent="0.2">
      <c r="A168" s="20" t="s">
        <v>2252</v>
      </c>
      <c r="F168" s="8" t="s">
        <v>1576</v>
      </c>
      <c r="G168" s="5" t="s">
        <v>789</v>
      </c>
      <c r="H168" s="180" t="s">
        <v>2388</v>
      </c>
    </row>
    <row r="169" spans="1:9" ht="25.5" x14ac:dyDescent="0.2">
      <c r="A169" s="20" t="s">
        <v>2253</v>
      </c>
      <c r="F169" s="117" t="s">
        <v>1579</v>
      </c>
      <c r="G169" s="115" t="s">
        <v>794</v>
      </c>
      <c r="H169" s="181" t="s">
        <v>2389</v>
      </c>
      <c r="I169" s="10">
        <v>1</v>
      </c>
    </row>
    <row r="170" spans="1:9" ht="25.5" x14ac:dyDescent="0.2">
      <c r="A170" s="20" t="s">
        <v>2254</v>
      </c>
      <c r="F170" s="117" t="s">
        <v>1582</v>
      </c>
      <c r="G170" s="115" t="s">
        <v>797</v>
      </c>
      <c r="H170" s="118" t="s">
        <v>798</v>
      </c>
      <c r="I170" s="10">
        <v>1</v>
      </c>
    </row>
    <row r="171" spans="1:9" ht="38.25" x14ac:dyDescent="0.2">
      <c r="A171" s="20" t="s">
        <v>2255</v>
      </c>
      <c r="F171" s="117" t="s">
        <v>1585</v>
      </c>
      <c r="G171" s="115" t="s">
        <v>800</v>
      </c>
      <c r="H171" s="118" t="s">
        <v>803</v>
      </c>
      <c r="I171" s="10">
        <v>1</v>
      </c>
    </row>
    <row r="172" spans="1:9" ht="15" x14ac:dyDescent="0.2">
      <c r="A172" s="20" t="s">
        <v>2256</v>
      </c>
      <c r="F172" s="117" t="s">
        <v>1589</v>
      </c>
      <c r="G172" s="115" t="s">
        <v>805</v>
      </c>
      <c r="H172" s="118" t="s">
        <v>808</v>
      </c>
      <c r="I172" s="10">
        <v>1</v>
      </c>
    </row>
    <row r="173" spans="1:9" ht="15" x14ac:dyDescent="0.2">
      <c r="A173" s="20" t="s">
        <v>2257</v>
      </c>
      <c r="F173" s="8" t="s">
        <v>1593</v>
      </c>
      <c r="G173" s="5"/>
      <c r="H173" s="7"/>
    </row>
    <row r="174" spans="1:9" ht="15" x14ac:dyDescent="0.2">
      <c r="A174" s="20" t="s">
        <v>811</v>
      </c>
      <c r="F174" s="117" t="s">
        <v>1597</v>
      </c>
      <c r="G174" s="115"/>
      <c r="H174" s="118" t="s">
        <v>813</v>
      </c>
      <c r="I174" s="10">
        <v>1</v>
      </c>
    </row>
    <row r="175" spans="1:9" ht="89.25" x14ac:dyDescent="0.2">
      <c r="A175" s="20" t="s">
        <v>814</v>
      </c>
      <c r="F175" s="8" t="s">
        <v>1601</v>
      </c>
      <c r="G175" s="5"/>
      <c r="H175" s="7" t="s">
        <v>816</v>
      </c>
    </row>
    <row r="176" spans="1:9" ht="30" x14ac:dyDescent="0.2">
      <c r="A176" s="20" t="s">
        <v>2258</v>
      </c>
      <c r="F176" s="8" t="s">
        <v>1605</v>
      </c>
      <c r="G176" s="5" t="s">
        <v>818</v>
      </c>
      <c r="H176" s="180" t="s">
        <v>2390</v>
      </c>
    </row>
    <row r="177" spans="1:9" ht="15" x14ac:dyDescent="0.2">
      <c r="A177" s="20" t="s">
        <v>2259</v>
      </c>
      <c r="F177" s="117" t="s">
        <v>1608</v>
      </c>
      <c r="G177" s="115" t="s">
        <v>821</v>
      </c>
      <c r="H177" s="181" t="s">
        <v>2391</v>
      </c>
      <c r="I177" s="10">
        <v>1</v>
      </c>
    </row>
    <row r="178" spans="1:9" ht="25.5" x14ac:dyDescent="0.2">
      <c r="A178" s="20" t="s">
        <v>2260</v>
      </c>
      <c r="F178" s="116"/>
      <c r="G178" s="115" t="s">
        <v>825</v>
      </c>
      <c r="H178" s="118" t="s">
        <v>827</v>
      </c>
      <c r="I178" s="10">
        <v>1</v>
      </c>
    </row>
    <row r="179" spans="1:9" ht="25.5" x14ac:dyDescent="0.2">
      <c r="A179" s="20" t="s">
        <v>2261</v>
      </c>
      <c r="F179" s="116"/>
      <c r="G179" s="115" t="s">
        <v>829</v>
      </c>
      <c r="H179" s="118" t="s">
        <v>831</v>
      </c>
      <c r="I179" s="10">
        <v>1</v>
      </c>
    </row>
    <row r="180" spans="1:9" ht="15" x14ac:dyDescent="0.2">
      <c r="A180" s="20" t="s">
        <v>2262</v>
      </c>
      <c r="F180" s="116"/>
      <c r="G180" s="115" t="s">
        <v>834</v>
      </c>
      <c r="H180" s="181" t="s">
        <v>2392</v>
      </c>
      <c r="I180" s="10">
        <v>1</v>
      </c>
    </row>
    <row r="181" spans="1:9" ht="25.5" x14ac:dyDescent="0.2">
      <c r="A181" s="20" t="s">
        <v>2263</v>
      </c>
      <c r="F181" s="116"/>
      <c r="G181" s="115" t="s">
        <v>837</v>
      </c>
      <c r="H181" s="118" t="s">
        <v>839</v>
      </c>
      <c r="I181" s="10">
        <v>1</v>
      </c>
    </row>
    <row r="182" spans="1:9" ht="15" x14ac:dyDescent="0.2">
      <c r="A182" s="20" t="s">
        <v>842</v>
      </c>
      <c r="F182" s="116"/>
      <c r="G182" s="115"/>
      <c r="H182" s="118" t="s">
        <v>844</v>
      </c>
      <c r="I182" s="10">
        <v>1</v>
      </c>
    </row>
    <row r="183" spans="1:9" ht="38.25" x14ac:dyDescent="0.2">
      <c r="A183" s="20" t="s">
        <v>845</v>
      </c>
      <c r="F183" s="6"/>
      <c r="G183" s="5" t="s">
        <v>846</v>
      </c>
      <c r="H183" s="7" t="s">
        <v>848</v>
      </c>
    </row>
    <row r="184" spans="1:9" ht="15" x14ac:dyDescent="0.2">
      <c r="A184" s="20" t="s">
        <v>2077</v>
      </c>
      <c r="F184" s="116"/>
      <c r="G184" s="115"/>
      <c r="H184" s="118"/>
      <c r="I184" s="10">
        <v>1</v>
      </c>
    </row>
    <row r="185" spans="1:9" ht="51" x14ac:dyDescent="0.2">
      <c r="A185" s="20" t="s">
        <v>2264</v>
      </c>
      <c r="F185" s="116"/>
      <c r="G185" s="115" t="s">
        <v>851</v>
      </c>
      <c r="H185" s="118" t="s">
        <v>852</v>
      </c>
      <c r="I185" s="10">
        <v>1</v>
      </c>
    </row>
    <row r="186" spans="1:9" ht="25.5" x14ac:dyDescent="0.2">
      <c r="A186" s="20" t="s">
        <v>2265</v>
      </c>
      <c r="F186" s="116"/>
      <c r="G186" s="115" t="s">
        <v>854</v>
      </c>
      <c r="H186" s="181" t="s">
        <v>2393</v>
      </c>
      <c r="I186" s="10">
        <v>1</v>
      </c>
    </row>
    <row r="187" spans="1:9" ht="25.5" x14ac:dyDescent="0.2">
      <c r="A187" s="20" t="s">
        <v>2266</v>
      </c>
      <c r="F187" s="6"/>
      <c r="G187" s="5" t="s">
        <v>859</v>
      </c>
      <c r="H187" s="180" t="s">
        <v>2394</v>
      </c>
    </row>
    <row r="188" spans="1:9" ht="15" x14ac:dyDescent="0.2">
      <c r="A188" s="20" t="s">
        <v>2267</v>
      </c>
      <c r="F188" s="6"/>
      <c r="G188" s="5" t="s">
        <v>862</v>
      </c>
      <c r="H188" s="180" t="s">
        <v>2395</v>
      </c>
    </row>
    <row r="189" spans="1:9" ht="15" x14ac:dyDescent="0.2">
      <c r="A189" s="20" t="s">
        <v>2268</v>
      </c>
      <c r="F189" s="6"/>
      <c r="G189" s="5" t="s">
        <v>866</v>
      </c>
      <c r="H189" t="s">
        <v>2396</v>
      </c>
    </row>
    <row r="190" spans="1:9" ht="25.5" x14ac:dyDescent="0.2">
      <c r="A190" s="20" t="s">
        <v>2269</v>
      </c>
      <c r="F190" s="6"/>
      <c r="G190" s="5" t="s">
        <v>870</v>
      </c>
      <c r="H190" s="7" t="s">
        <v>871</v>
      </c>
    </row>
    <row r="191" spans="1:9" ht="15" x14ac:dyDescent="0.2">
      <c r="A191" s="20" t="s">
        <v>2270</v>
      </c>
      <c r="F191" s="6"/>
      <c r="G191" s="5" t="s">
        <v>873</v>
      </c>
      <c r="H191" s="7"/>
    </row>
    <row r="192" spans="1:9" ht="76.5" x14ac:dyDescent="0.2">
      <c r="A192" s="20" t="s">
        <v>2271</v>
      </c>
      <c r="F192" s="6"/>
      <c r="G192" s="5" t="s">
        <v>875</v>
      </c>
      <c r="H192" s="180" t="s">
        <v>2397</v>
      </c>
    </row>
    <row r="193" spans="1:9" ht="15" x14ac:dyDescent="0.2">
      <c r="A193" s="20" t="s">
        <v>2272</v>
      </c>
      <c r="F193" s="6"/>
      <c r="G193" s="6"/>
      <c r="H193" s="180" t="s">
        <v>2398</v>
      </c>
    </row>
    <row r="194" spans="1:9" ht="25.5" x14ac:dyDescent="0.2">
      <c r="A194" s="20" t="s">
        <v>2273</v>
      </c>
      <c r="F194" s="116"/>
      <c r="G194" s="122" t="s">
        <v>882</v>
      </c>
      <c r="H194" s="181" t="s">
        <v>2399</v>
      </c>
      <c r="I194" s="10">
        <v>1</v>
      </c>
    </row>
    <row r="195" spans="1:9" ht="15" x14ac:dyDescent="0.2">
      <c r="A195" s="20" t="s">
        <v>2274</v>
      </c>
      <c r="F195" s="116"/>
      <c r="G195" s="115" t="s">
        <v>887</v>
      </c>
      <c r="H195" s="118" t="s">
        <v>889</v>
      </c>
      <c r="I195" s="10">
        <v>1</v>
      </c>
    </row>
    <row r="196" spans="1:9" ht="15" x14ac:dyDescent="0.2">
      <c r="A196" s="20" t="s">
        <v>2275</v>
      </c>
      <c r="F196" s="6"/>
      <c r="G196" t="s">
        <v>1659</v>
      </c>
      <c r="H196" s="7"/>
    </row>
    <row r="197" spans="1:9" ht="25.5" x14ac:dyDescent="0.2">
      <c r="A197" s="20" t="s">
        <v>892</v>
      </c>
      <c r="F197" s="6"/>
      <c r="G197" s="6"/>
      <c r="H197" s="180" t="s">
        <v>2400</v>
      </c>
    </row>
    <row r="198" spans="1:9" ht="38.25" x14ac:dyDescent="0.2">
      <c r="A198" s="20" t="s">
        <v>2276</v>
      </c>
      <c r="F198" s="6"/>
      <c r="G198" t="s">
        <v>1662</v>
      </c>
      <c r="H198" s="180" t="s">
        <v>2401</v>
      </c>
    </row>
    <row r="199" spans="1:9" ht="25.5" x14ac:dyDescent="0.2">
      <c r="A199" s="20" t="s">
        <v>897</v>
      </c>
      <c r="F199" s="6"/>
      <c r="G199" s="6"/>
      <c r="H199" s="7" t="s">
        <v>899</v>
      </c>
    </row>
    <row r="200" spans="1:9" ht="63.75" x14ac:dyDescent="0.2">
      <c r="A200" s="20" t="s">
        <v>900</v>
      </c>
      <c r="F200" s="6"/>
      <c r="G200" s="6"/>
      <c r="H200" s="7" t="s">
        <v>902</v>
      </c>
    </row>
    <row r="201" spans="1:9" ht="63.75" x14ac:dyDescent="0.2">
      <c r="A201" s="20" t="s">
        <v>903</v>
      </c>
      <c r="F201" s="116"/>
      <c r="G201" s="116"/>
      <c r="H201" s="118" t="s">
        <v>905</v>
      </c>
      <c r="I201" s="10">
        <v>1</v>
      </c>
    </row>
    <row r="202" spans="1:9" ht="15" x14ac:dyDescent="0.2">
      <c r="A202" s="20" t="s">
        <v>906</v>
      </c>
      <c r="F202" s="116"/>
      <c r="G202" s="119"/>
      <c r="H202" s="118"/>
      <c r="I202" s="10">
        <v>1</v>
      </c>
    </row>
    <row r="203" spans="1:9" ht="15" x14ac:dyDescent="0.2">
      <c r="A203" s="20" t="s">
        <v>908</v>
      </c>
      <c r="F203" s="6"/>
      <c r="H203" s="7"/>
    </row>
    <row r="204" spans="1:9" ht="25.5" x14ac:dyDescent="0.2">
      <c r="A204" s="20" t="s">
        <v>2277</v>
      </c>
      <c r="F204" s="6"/>
      <c r="G204" s="5" t="s">
        <v>911</v>
      </c>
      <c r="H204" s="180" t="s">
        <v>2402</v>
      </c>
    </row>
    <row r="205" spans="1:9" ht="76.5" x14ac:dyDescent="0.2">
      <c r="A205" s="20" t="s">
        <v>914</v>
      </c>
      <c r="F205" s="6"/>
      <c r="G205" s="6"/>
      <c r="H205" s="7" t="s">
        <v>916</v>
      </c>
    </row>
    <row r="206" spans="1:9" ht="51" x14ac:dyDescent="0.2">
      <c r="A206" s="20" t="s">
        <v>2278</v>
      </c>
      <c r="F206" s="6"/>
      <c r="G206" s="5" t="s">
        <v>918</v>
      </c>
      <c r="H206" s="180" t="s">
        <v>2403</v>
      </c>
    </row>
    <row r="207" spans="1:9" ht="15" x14ac:dyDescent="0.2">
      <c r="A207" s="20" t="s">
        <v>2279</v>
      </c>
      <c r="F207" s="6"/>
      <c r="G207" s="5" t="s">
        <v>921</v>
      </c>
      <c r="H207" s="180" t="s">
        <v>2404</v>
      </c>
    </row>
    <row r="208" spans="1:9" ht="15" x14ac:dyDescent="0.2">
      <c r="A208" s="20" t="s">
        <v>2280</v>
      </c>
      <c r="F208" s="6"/>
      <c r="G208" s="5" t="s">
        <v>925</v>
      </c>
      <c r="H208" s="180" t="s">
        <v>2405</v>
      </c>
    </row>
    <row r="209" spans="1:9" ht="15" x14ac:dyDescent="0.2">
      <c r="A209" s="20" t="s">
        <v>2281</v>
      </c>
      <c r="F209" s="6"/>
      <c r="G209" s="5" t="s">
        <v>928</v>
      </c>
      <c r="H209" s="7" t="s">
        <v>929</v>
      </c>
    </row>
    <row r="210" spans="1:9" ht="25.5" x14ac:dyDescent="0.2">
      <c r="A210" s="20" t="s">
        <v>2282</v>
      </c>
      <c r="F210" s="116"/>
      <c r="G210" s="115" t="s">
        <v>931</v>
      </c>
      <c r="H210" s="181" t="s">
        <v>2406</v>
      </c>
      <c r="I210" s="10">
        <v>1</v>
      </c>
    </row>
    <row r="211" spans="1:9" ht="15" x14ac:dyDescent="0.2">
      <c r="A211" s="20" t="s">
        <v>934</v>
      </c>
      <c r="F211" s="6"/>
      <c r="H211" s="7"/>
    </row>
    <row r="212" spans="1:9" ht="15" x14ac:dyDescent="0.2">
      <c r="A212" s="20" t="s">
        <v>935</v>
      </c>
      <c r="F212" s="6"/>
      <c r="G212" s="5" t="s">
        <v>936</v>
      </c>
      <c r="H212" s="7"/>
    </row>
    <row r="213" spans="1:9" ht="15" x14ac:dyDescent="0.2">
      <c r="A213" s="20" t="s">
        <v>2283</v>
      </c>
      <c r="F213" s="6"/>
      <c r="G213" s="5" t="s">
        <v>938</v>
      </c>
      <c r="H213" s="180" t="s">
        <v>2407</v>
      </c>
    </row>
    <row r="214" spans="1:9" ht="15" x14ac:dyDescent="0.2">
      <c r="A214" s="20" t="s">
        <v>2284</v>
      </c>
      <c r="F214" s="6"/>
      <c r="G214" s="5" t="s">
        <v>941</v>
      </c>
      <c r="H214" s="7" t="s">
        <v>943</v>
      </c>
    </row>
    <row r="215" spans="1:9" ht="38.25" x14ac:dyDescent="0.2">
      <c r="A215" s="20" t="s">
        <v>2285</v>
      </c>
      <c r="F215" s="116"/>
      <c r="G215" s="115" t="s">
        <v>945</v>
      </c>
      <c r="H215" s="181" t="s">
        <v>2408</v>
      </c>
      <c r="I215" s="10">
        <v>1</v>
      </c>
    </row>
    <row r="216" spans="1:9" ht="38.25" x14ac:dyDescent="0.2">
      <c r="A216" s="20" t="s">
        <v>2286</v>
      </c>
      <c r="F216" s="6"/>
      <c r="G216" s="5" t="s">
        <v>948</v>
      </c>
      <c r="H216" s="180" t="s">
        <v>2409</v>
      </c>
    </row>
    <row r="217" spans="1:9" ht="25.5" x14ac:dyDescent="0.2">
      <c r="A217" s="20" t="s">
        <v>2287</v>
      </c>
      <c r="F217" s="116"/>
      <c r="G217" s="115" t="s">
        <v>951</v>
      </c>
      <c r="H217" s="129" t="s">
        <v>2410</v>
      </c>
      <c r="I217" s="10">
        <v>1</v>
      </c>
    </row>
    <row r="218" spans="1:9" ht="15" x14ac:dyDescent="0.2">
      <c r="A218" s="20" t="s">
        <v>2288</v>
      </c>
      <c r="F218" s="6"/>
      <c r="G218" s="5" t="s">
        <v>955</v>
      </c>
      <c r="H218" s="7" t="s">
        <v>956</v>
      </c>
    </row>
    <row r="219" spans="1:9" ht="25.5" x14ac:dyDescent="0.2">
      <c r="A219" s="20" t="s">
        <v>2289</v>
      </c>
      <c r="F219" s="116"/>
      <c r="G219" s="115" t="s">
        <v>958</v>
      </c>
      <c r="H219" s="118" t="s">
        <v>960</v>
      </c>
      <c r="I219" s="10">
        <v>1</v>
      </c>
    </row>
    <row r="220" spans="1:9" ht="25.5" x14ac:dyDescent="0.2">
      <c r="A220" s="20" t="s">
        <v>2290</v>
      </c>
      <c r="F220" s="116"/>
      <c r="G220" s="115" t="s">
        <v>962</v>
      </c>
      <c r="H220" s="181" t="s">
        <v>2411</v>
      </c>
      <c r="I220" s="10">
        <v>1</v>
      </c>
    </row>
    <row r="221" spans="1:9" ht="15" x14ac:dyDescent="0.2">
      <c r="A221" s="20" t="s">
        <v>2291</v>
      </c>
      <c r="F221" s="6"/>
      <c r="G221" s="5" t="s">
        <v>966</v>
      </c>
      <c r="H221" s="180" t="s">
        <v>1722</v>
      </c>
    </row>
    <row r="222" spans="1:9" ht="25.5" x14ac:dyDescent="0.2">
      <c r="A222" s="20" t="s">
        <v>2292</v>
      </c>
      <c r="F222" s="6"/>
      <c r="G222" s="5" t="s">
        <v>970</v>
      </c>
      <c r="H222" s="180" t="s">
        <v>2412</v>
      </c>
    </row>
    <row r="223" spans="1:9" ht="25.5" x14ac:dyDescent="0.2">
      <c r="A223" s="20" t="s">
        <v>2293</v>
      </c>
      <c r="F223" s="6"/>
      <c r="G223" s="5" t="s">
        <v>974</v>
      </c>
      <c r="H223" s="180" t="s">
        <v>2413</v>
      </c>
    </row>
    <row r="224" spans="1:9" ht="15" x14ac:dyDescent="0.2">
      <c r="A224" s="20" t="s">
        <v>2294</v>
      </c>
      <c r="F224" s="6"/>
      <c r="G224" s="5" t="s">
        <v>977</v>
      </c>
      <c r="H224" s="7"/>
    </row>
    <row r="225" spans="1:9" ht="25.5" x14ac:dyDescent="0.2">
      <c r="A225" s="20" t="s">
        <v>2295</v>
      </c>
      <c r="F225" s="6"/>
      <c r="G225" s="9" t="s">
        <v>980</v>
      </c>
      <c r="H225" s="180" t="s">
        <v>2414</v>
      </c>
    </row>
    <row r="226" spans="1:9" ht="15" x14ac:dyDescent="0.2">
      <c r="A226" s="20" t="s">
        <v>2296</v>
      </c>
      <c r="F226" s="6"/>
      <c r="G226" s="5" t="s">
        <v>983</v>
      </c>
      <c r="H226" s="7"/>
    </row>
    <row r="227" spans="1:9" ht="38.25" x14ac:dyDescent="0.2">
      <c r="A227" s="20" t="s">
        <v>2297</v>
      </c>
      <c r="F227" s="6"/>
      <c r="G227" s="5" t="s">
        <v>985</v>
      </c>
      <c r="H227" s="7" t="s">
        <v>986</v>
      </c>
    </row>
    <row r="228" spans="1:9" ht="15" x14ac:dyDescent="0.2">
      <c r="A228" s="20" t="s">
        <v>2298</v>
      </c>
      <c r="F228" s="6"/>
      <c r="G228" s="5" t="s">
        <v>988</v>
      </c>
      <c r="H228" s="7"/>
    </row>
    <row r="229" spans="1:9" ht="15" x14ac:dyDescent="0.2">
      <c r="A229" s="20" t="s">
        <v>2299</v>
      </c>
      <c r="F229" s="116"/>
      <c r="G229" s="115" t="s">
        <v>991</v>
      </c>
      <c r="H229" s="181" t="s">
        <v>2415</v>
      </c>
      <c r="I229" s="10">
        <v>1</v>
      </c>
    </row>
    <row r="230" spans="1:9" ht="25.5" x14ac:dyDescent="0.2">
      <c r="A230" s="20" t="s">
        <v>2300</v>
      </c>
      <c r="F230" s="6"/>
      <c r="G230" s="5" t="s">
        <v>994</v>
      </c>
      <c r="H230" s="180" t="s">
        <v>2416</v>
      </c>
    </row>
    <row r="231" spans="1:9" ht="25.5" x14ac:dyDescent="0.2">
      <c r="A231" s="20" t="s">
        <v>2301</v>
      </c>
      <c r="F231" s="116"/>
      <c r="G231" s="115" t="s">
        <v>998</v>
      </c>
      <c r="H231" s="182" t="s">
        <v>2417</v>
      </c>
      <c r="I231" s="10">
        <v>1</v>
      </c>
    </row>
    <row r="232" spans="1:9" ht="51" x14ac:dyDescent="0.2">
      <c r="A232" s="20" t="s">
        <v>1002</v>
      </c>
      <c r="F232" s="6"/>
      <c r="H232" s="7" t="s">
        <v>1004</v>
      </c>
    </row>
    <row r="233" spans="1:9" ht="30" x14ac:dyDescent="0.2">
      <c r="A233" s="20" t="s">
        <v>2302</v>
      </c>
      <c r="F233" s="6"/>
      <c r="G233" s="5" t="s">
        <v>1006</v>
      </c>
      <c r="H233" s="11"/>
    </row>
    <row r="234" spans="1:9" ht="15" x14ac:dyDescent="0.2">
      <c r="A234" s="20" t="s">
        <v>1007</v>
      </c>
      <c r="F234" s="6"/>
      <c r="H234" s="7"/>
    </row>
    <row r="235" spans="1:9" ht="15" x14ac:dyDescent="0.2">
      <c r="A235" s="20" t="s">
        <v>2303</v>
      </c>
      <c r="F235" s="6"/>
      <c r="G235" s="5" t="s">
        <v>1010</v>
      </c>
      <c r="H235" s="180" t="s">
        <v>2418</v>
      </c>
    </row>
    <row r="236" spans="1:9" ht="15" x14ac:dyDescent="0.2">
      <c r="A236" s="20" t="s">
        <v>2304</v>
      </c>
      <c r="F236" s="6"/>
      <c r="G236" s="5" t="s">
        <v>1013</v>
      </c>
      <c r="H236" s="180" t="s">
        <v>1014</v>
      </c>
    </row>
    <row r="237" spans="1:9" ht="15" x14ac:dyDescent="0.2">
      <c r="A237" s="20" t="s">
        <v>2305</v>
      </c>
      <c r="F237" s="6"/>
      <c r="G237" s="5" t="s">
        <v>1016</v>
      </c>
      <c r="H237" s="180" t="s">
        <v>2419</v>
      </c>
    </row>
    <row r="238" spans="1:9" ht="25.5" x14ac:dyDescent="0.2">
      <c r="A238" s="20" t="s">
        <v>2306</v>
      </c>
      <c r="F238" s="6"/>
      <c r="G238" s="5" t="s">
        <v>1019</v>
      </c>
      <c r="H238" s="180" t="s">
        <v>2420</v>
      </c>
    </row>
    <row r="239" spans="1:9" ht="25.5" x14ac:dyDescent="0.2">
      <c r="A239" s="20" t="s">
        <v>2307</v>
      </c>
      <c r="F239" s="6"/>
      <c r="G239" s="5" t="s">
        <v>1024</v>
      </c>
      <c r="H239" s="180" t="s">
        <v>2421</v>
      </c>
    </row>
    <row r="240" spans="1:9" ht="25.5" x14ac:dyDescent="0.2">
      <c r="A240" s="20" t="s">
        <v>2308</v>
      </c>
      <c r="F240" s="6"/>
      <c r="G240" s="9" t="s">
        <v>1027</v>
      </c>
      <c r="H240" s="180" t="s">
        <v>2422</v>
      </c>
    </row>
    <row r="241" spans="1:9" ht="15" x14ac:dyDescent="0.2">
      <c r="A241" s="20" t="s">
        <v>2309</v>
      </c>
      <c r="F241" s="6"/>
      <c r="G241" s="5" t="s">
        <v>1030</v>
      </c>
      <c r="H241" s="7" t="s">
        <v>840</v>
      </c>
    </row>
    <row r="242" spans="1:9" ht="15" x14ac:dyDescent="0.2">
      <c r="A242" s="20" t="s">
        <v>2310</v>
      </c>
      <c r="F242" s="6"/>
      <c r="G242" s="5" t="s">
        <v>1032</v>
      </c>
      <c r="H242" s="7"/>
    </row>
    <row r="243" spans="1:9" ht="25.5" x14ac:dyDescent="0.2">
      <c r="A243" s="20" t="s">
        <v>2311</v>
      </c>
      <c r="F243" s="6"/>
      <c r="G243" s="5" t="s">
        <v>1034</v>
      </c>
      <c r="H243" s="180" t="s">
        <v>2423</v>
      </c>
    </row>
    <row r="244" spans="1:9" ht="102" x14ac:dyDescent="0.2">
      <c r="A244" s="20" t="s">
        <v>1037</v>
      </c>
      <c r="F244" s="6"/>
      <c r="H244" s="7" t="s">
        <v>1039</v>
      </c>
    </row>
    <row r="245" spans="1:9" ht="15" x14ac:dyDescent="0.2">
      <c r="A245" s="20" t="s">
        <v>1040</v>
      </c>
      <c r="F245" s="6"/>
      <c r="H245" s="7"/>
    </row>
    <row r="246" spans="1:9" ht="15" x14ac:dyDescent="0.2">
      <c r="A246" s="20" t="s">
        <v>2312</v>
      </c>
      <c r="F246" s="6"/>
      <c r="G246" s="5" t="s">
        <v>1042</v>
      </c>
      <c r="H246" s="180" t="s">
        <v>2424</v>
      </c>
    </row>
    <row r="247" spans="1:9" ht="204" x14ac:dyDescent="0.2">
      <c r="A247" s="20" t="s">
        <v>1044</v>
      </c>
      <c r="F247" s="6"/>
      <c r="G247" s="6"/>
      <c r="H247" s="7" t="s">
        <v>1046</v>
      </c>
    </row>
    <row r="248" spans="1:9" ht="15" x14ac:dyDescent="0.2">
      <c r="A248" s="20" t="s">
        <v>2313</v>
      </c>
      <c r="F248" s="6"/>
      <c r="G248" s="5" t="s">
        <v>1048</v>
      </c>
      <c r="H248" s="7"/>
    </row>
    <row r="249" spans="1:9" ht="38.25" x14ac:dyDescent="0.2">
      <c r="A249" s="20" t="s">
        <v>2314</v>
      </c>
      <c r="F249" s="6"/>
      <c r="G249" s="5" t="s">
        <v>1050</v>
      </c>
      <c r="H249" s="7" t="s">
        <v>1052</v>
      </c>
    </row>
    <row r="250" spans="1:9" ht="25.5" x14ac:dyDescent="0.2">
      <c r="A250" s="20" t="s">
        <v>2315</v>
      </c>
      <c r="F250" s="6"/>
      <c r="G250" s="5" t="s">
        <v>1054</v>
      </c>
      <c r="H250" s="180" t="s">
        <v>2425</v>
      </c>
    </row>
    <row r="251" spans="1:9" ht="38.25" x14ac:dyDescent="0.2">
      <c r="A251" s="20" t="s">
        <v>2316</v>
      </c>
      <c r="F251" s="6"/>
      <c r="G251" s="5" t="s">
        <v>1057</v>
      </c>
      <c r="H251" s="180" t="s">
        <v>2426</v>
      </c>
    </row>
    <row r="252" spans="1:9" ht="25.5" x14ac:dyDescent="0.2">
      <c r="A252" s="20" t="s">
        <v>2317</v>
      </c>
      <c r="F252" s="6"/>
      <c r="G252" s="5" t="s">
        <v>1061</v>
      </c>
      <c r="H252" s="180" t="s">
        <v>2427</v>
      </c>
    </row>
    <row r="253" spans="1:9" ht="25.5" x14ac:dyDescent="0.2">
      <c r="A253" s="20" t="s">
        <v>2318</v>
      </c>
      <c r="F253" s="6"/>
      <c r="G253" s="5" t="s">
        <v>1065</v>
      </c>
      <c r="H253" s="7" t="s">
        <v>1066</v>
      </c>
    </row>
    <row r="254" spans="1:9" ht="25.5" x14ac:dyDescent="0.2">
      <c r="A254" s="20" t="s">
        <v>2319</v>
      </c>
      <c r="F254" s="116"/>
      <c r="G254" s="115" t="s">
        <v>1068</v>
      </c>
      <c r="H254" s="123" t="s">
        <v>1070</v>
      </c>
      <c r="I254" s="10">
        <v>1</v>
      </c>
    </row>
    <row r="255" spans="1:9" ht="15" x14ac:dyDescent="0.2">
      <c r="A255" s="20" t="s">
        <v>2320</v>
      </c>
      <c r="F255" s="6"/>
      <c r="G255" s="5" t="s">
        <v>1072</v>
      </c>
      <c r="H255" s="7" t="s">
        <v>1073</v>
      </c>
    </row>
    <row r="256" spans="1:9" ht="25.5" x14ac:dyDescent="0.2">
      <c r="A256" s="20" t="s">
        <v>2321</v>
      </c>
      <c r="F256" s="6"/>
      <c r="G256" s="5" t="s">
        <v>1075</v>
      </c>
      <c r="H256" s="180" t="s">
        <v>2428</v>
      </c>
    </row>
    <row r="257" spans="1:8" ht="15" x14ac:dyDescent="0.2">
      <c r="A257" s="20" t="s">
        <v>2322</v>
      </c>
      <c r="F257" s="6"/>
      <c r="G257" s="5" t="s">
        <v>1080</v>
      </c>
      <c r="H257" s="180" t="s">
        <v>2429</v>
      </c>
    </row>
    <row r="258" spans="1:8" ht="15" x14ac:dyDescent="0.2">
      <c r="A258" s="20" t="s">
        <v>2323</v>
      </c>
      <c r="F258" s="6"/>
      <c r="G258" s="5" t="s">
        <v>1083</v>
      </c>
      <c r="H258" s="7" t="s">
        <v>1084</v>
      </c>
    </row>
    <row r="259" spans="1:8" ht="38.25" x14ac:dyDescent="0.2">
      <c r="A259" s="20" t="s">
        <v>2324</v>
      </c>
      <c r="F259" s="6"/>
      <c r="G259" s="5" t="s">
        <v>1086</v>
      </c>
      <c r="H259" s="7" t="s">
        <v>1088</v>
      </c>
    </row>
    <row r="260" spans="1:8" ht="15" x14ac:dyDescent="0.2">
      <c r="A260" s="20" t="s">
        <v>2325</v>
      </c>
      <c r="F260" s="6"/>
      <c r="G260" s="5" t="s">
        <v>1090</v>
      </c>
      <c r="H260" s="180" t="s">
        <v>2430</v>
      </c>
    </row>
    <row r="261" spans="1:8" ht="25.5" x14ac:dyDescent="0.2">
      <c r="A261" s="20" t="s">
        <v>2326</v>
      </c>
      <c r="F261" s="6"/>
      <c r="G261" s="6"/>
      <c r="H261" s="7" t="s">
        <v>1094</v>
      </c>
    </row>
    <row r="262" spans="1:8" ht="15" x14ac:dyDescent="0.2">
      <c r="A262" s="20" t="s">
        <v>1095</v>
      </c>
      <c r="F262" s="6"/>
      <c r="H262" s="7" t="s">
        <v>1097</v>
      </c>
    </row>
    <row r="263" spans="1:8" ht="15" x14ac:dyDescent="0.2">
      <c r="A263" s="20" t="s">
        <v>2327</v>
      </c>
      <c r="F263" s="6"/>
      <c r="G263" s="5" t="s">
        <v>1099</v>
      </c>
      <c r="H263" s="183" t="s">
        <v>2431</v>
      </c>
    </row>
    <row r="264" spans="1:8" ht="25.5" x14ac:dyDescent="0.2">
      <c r="A264" s="20" t="s">
        <v>2328</v>
      </c>
      <c r="F264" s="6"/>
      <c r="G264" s="5" t="s">
        <v>1104</v>
      </c>
      <c r="H264" s="7" t="s">
        <v>1106</v>
      </c>
    </row>
    <row r="265" spans="1:8" ht="25.5" x14ac:dyDescent="0.2">
      <c r="A265" s="20" t="s">
        <v>2329</v>
      </c>
      <c r="F265" s="6"/>
      <c r="G265" s="5" t="s">
        <v>1108</v>
      </c>
      <c r="H265" s="7" t="s">
        <v>1109</v>
      </c>
    </row>
    <row r="266" spans="1:8" ht="15" x14ac:dyDescent="0.2">
      <c r="A266" s="20" t="s">
        <v>2330</v>
      </c>
      <c r="F266" s="6"/>
      <c r="G266" s="5" t="s">
        <v>1111</v>
      </c>
      <c r="H266" s="7"/>
    </row>
    <row r="267" spans="1:8" ht="15" x14ac:dyDescent="0.2">
      <c r="A267" s="20" t="s">
        <v>2331</v>
      </c>
      <c r="F267" s="6"/>
      <c r="G267" s="5" t="s">
        <v>1113</v>
      </c>
      <c r="H267" s="180" t="s">
        <v>2432</v>
      </c>
    </row>
    <row r="268" spans="1:8" ht="89.25" x14ac:dyDescent="0.2">
      <c r="A268" s="20" t="s">
        <v>1117</v>
      </c>
      <c r="F268" s="6"/>
      <c r="H268" s="7" t="s">
        <v>1119</v>
      </c>
    </row>
    <row r="269" spans="1:8" ht="15" x14ac:dyDescent="0.2">
      <c r="A269" s="20" t="s">
        <v>2332</v>
      </c>
      <c r="F269" s="6"/>
      <c r="G269" s="5" t="s">
        <v>1121</v>
      </c>
      <c r="H269" s="7" t="s">
        <v>1122</v>
      </c>
    </row>
    <row r="270" spans="1:8" ht="30" x14ac:dyDescent="0.2">
      <c r="A270" s="20" t="s">
        <v>2333</v>
      </c>
      <c r="F270" s="6"/>
      <c r="G270" s="5" t="s">
        <v>1124</v>
      </c>
      <c r="H270" s="180" t="s">
        <v>2433</v>
      </c>
    </row>
    <row r="271" spans="1:8" ht="38.25" x14ac:dyDescent="0.2">
      <c r="A271" s="20" t="s">
        <v>2334</v>
      </c>
      <c r="F271" s="6"/>
      <c r="G271" s="5" t="s">
        <v>1127</v>
      </c>
      <c r="H271" s="180" t="s">
        <v>2434</v>
      </c>
    </row>
    <row r="272" spans="1:8" ht="15" x14ac:dyDescent="0.2">
      <c r="A272" s="20" t="s">
        <v>2335</v>
      </c>
      <c r="F272" s="6"/>
      <c r="G272" s="5" t="s">
        <v>1131</v>
      </c>
      <c r="H272" s="180" t="s">
        <v>1721</v>
      </c>
    </row>
    <row r="273" spans="1:8" ht="15" x14ac:dyDescent="0.2">
      <c r="A273" s="20" t="s">
        <v>2336</v>
      </c>
      <c r="F273" s="6"/>
      <c r="G273" s="5" t="s">
        <v>1134</v>
      </c>
      <c r="H273" s="7" t="s">
        <v>1136</v>
      </c>
    </row>
    <row r="274" spans="1:8" ht="15" x14ac:dyDescent="0.2">
      <c r="A274" s="20" t="s">
        <v>2337</v>
      </c>
      <c r="F274" s="6"/>
      <c r="G274" s="5" t="s">
        <v>1138</v>
      </c>
      <c r="H274" s="180" t="s">
        <v>2435</v>
      </c>
    </row>
    <row r="275" spans="1:8" ht="25.5" x14ac:dyDescent="0.2">
      <c r="A275" s="20" t="s">
        <v>2338</v>
      </c>
      <c r="F275" s="6"/>
      <c r="G275" s="5" t="s">
        <v>1141</v>
      </c>
      <c r="H275" s="180" t="s">
        <v>2438</v>
      </c>
    </row>
    <row r="276" spans="1:8" ht="15" x14ac:dyDescent="0.2">
      <c r="A276" s="20" t="s">
        <v>2339</v>
      </c>
      <c r="F276" s="6"/>
      <c r="G276" s="5" t="s">
        <v>1144</v>
      </c>
      <c r="H276" s="180" t="s">
        <v>2436</v>
      </c>
    </row>
    <row r="277" spans="1:8" ht="15" x14ac:dyDescent="0.2">
      <c r="A277" s="20" t="s">
        <v>2340</v>
      </c>
      <c r="F277" s="6"/>
      <c r="G277" s="5" t="s">
        <v>1148</v>
      </c>
      <c r="H277" s="7"/>
    </row>
    <row r="278" spans="1:8" ht="15" x14ac:dyDescent="0.2">
      <c r="A278" s="20" t="s">
        <v>2341</v>
      </c>
      <c r="F278" s="6"/>
      <c r="G278" s="5" t="s">
        <v>1150</v>
      </c>
      <c r="H278" s="180" t="s">
        <v>2437</v>
      </c>
    </row>
    <row r="279" spans="1:8" ht="25.5" x14ac:dyDescent="0.2">
      <c r="A279" s="20" t="s">
        <v>2342</v>
      </c>
      <c r="F279" s="6"/>
      <c r="G279" s="5" t="s">
        <v>1153</v>
      </c>
      <c r="H279" s="7" t="s">
        <v>1155</v>
      </c>
    </row>
    <row r="280" spans="1:8" ht="30" x14ac:dyDescent="0.2">
      <c r="A280" s="20" t="s">
        <v>2343</v>
      </c>
      <c r="F280" s="6"/>
      <c r="H280" s="7"/>
    </row>
    <row r="281" spans="1:8" ht="25.5" x14ac:dyDescent="0.2">
      <c r="A281" s="20" t="s">
        <v>2344</v>
      </c>
      <c r="F281" s="6"/>
      <c r="G281" s="5" t="s">
        <v>1159</v>
      </c>
      <c r="H281" s="7" t="s">
        <v>1160</v>
      </c>
    </row>
    <row r="282" spans="1:8" ht="15" x14ac:dyDescent="0.2">
      <c r="A282" s="20" t="s">
        <v>2345</v>
      </c>
      <c r="F282" s="6"/>
      <c r="G282" s="5" t="s">
        <v>1162</v>
      </c>
      <c r="H282" t="s">
        <v>2440</v>
      </c>
    </row>
    <row r="283" spans="1:8" ht="25.5" x14ac:dyDescent="0.2">
      <c r="A283" s="20" t="s">
        <v>2346</v>
      </c>
      <c r="F283" s="6"/>
      <c r="G283" s="5" t="s">
        <v>1165</v>
      </c>
      <c r="H283" s="180" t="s">
        <v>2441</v>
      </c>
    </row>
    <row r="284" spans="1:8" ht="15" x14ac:dyDescent="0.2">
      <c r="A284" s="20" t="s">
        <v>2347</v>
      </c>
      <c r="F284" s="6"/>
      <c r="G284" s="5" t="s">
        <v>1168</v>
      </c>
      <c r="H284" s="7"/>
    </row>
    <row r="285" spans="1:8" ht="15" x14ac:dyDescent="0.2">
      <c r="A285" s="20" t="s">
        <v>2348</v>
      </c>
      <c r="F285" s="6"/>
      <c r="G285" s="5" t="s">
        <v>1171</v>
      </c>
      <c r="H285" s="7" t="s">
        <v>1173</v>
      </c>
    </row>
    <row r="286" spans="1:8" ht="15" x14ac:dyDescent="0.2">
      <c r="A286" s="20" t="s">
        <v>2349</v>
      </c>
      <c r="F286" s="6"/>
      <c r="G286" s="5" t="s">
        <v>1175</v>
      </c>
      <c r="H286" s="180" t="s">
        <v>2439</v>
      </c>
    </row>
    <row r="287" spans="1:8" ht="15" x14ac:dyDescent="0.2">
      <c r="A287" s="20" t="s">
        <v>2350</v>
      </c>
      <c r="F287" s="6"/>
      <c r="G287" s="5" t="s">
        <v>1178</v>
      </c>
      <c r="H287" s="180" t="s">
        <v>2442</v>
      </c>
    </row>
    <row r="288" spans="1:8" ht="102" x14ac:dyDescent="0.2">
      <c r="A288" s="20" t="s">
        <v>1182</v>
      </c>
      <c r="F288" s="6"/>
      <c r="H288" s="7" t="s">
        <v>1184</v>
      </c>
    </row>
    <row r="289" spans="1:8" ht="38.25" x14ac:dyDescent="0.2">
      <c r="A289" s="20" t="s">
        <v>2351</v>
      </c>
      <c r="F289" s="6"/>
      <c r="G289" s="9" t="s">
        <v>1186</v>
      </c>
      <c r="H289" s="7" t="s">
        <v>1187</v>
      </c>
    </row>
    <row r="290" spans="1:8" ht="25.5" x14ac:dyDescent="0.2">
      <c r="A290" s="20" t="s">
        <v>1188</v>
      </c>
      <c r="F290" s="6"/>
      <c r="G290" s="6"/>
      <c r="H290" s="7" t="s">
        <v>1190</v>
      </c>
    </row>
    <row r="291" spans="1:8" ht="15" x14ac:dyDescent="0.2">
      <c r="A291" s="20" t="s">
        <v>2352</v>
      </c>
      <c r="F291" s="6"/>
      <c r="G291" s="5" t="s">
        <v>1192</v>
      </c>
      <c r="H291" s="180" t="s">
        <v>2443</v>
      </c>
    </row>
    <row r="292" spans="1:8" ht="63.75" x14ac:dyDescent="0.2">
      <c r="A292" s="20" t="s">
        <v>1195</v>
      </c>
      <c r="F292" s="6"/>
      <c r="H292" s="180" t="s">
        <v>2444</v>
      </c>
    </row>
    <row r="293" spans="1:8" ht="15" x14ac:dyDescent="0.2">
      <c r="A293" s="20" t="s">
        <v>1198</v>
      </c>
      <c r="F293" s="6"/>
      <c r="G293" s="5"/>
      <c r="H293" s="180" t="s">
        <v>2445</v>
      </c>
    </row>
    <row r="294" spans="1:8" ht="38.25" x14ac:dyDescent="0.2">
      <c r="A294" s="20" t="s">
        <v>2353</v>
      </c>
      <c r="F294" s="6"/>
      <c r="G294" s="5" t="s">
        <v>1203</v>
      </c>
      <c r="H294" s="180" t="s">
        <v>2446</v>
      </c>
    </row>
    <row r="295" spans="1:8" ht="25.5" x14ac:dyDescent="0.2">
      <c r="A295" s="20" t="s">
        <v>2354</v>
      </c>
      <c r="F295" s="6"/>
      <c r="H295" s="180" t="s">
        <v>2447</v>
      </c>
    </row>
    <row r="296" spans="1:8" ht="15" x14ac:dyDescent="0.2">
      <c r="A296" s="20" t="s">
        <v>2355</v>
      </c>
      <c r="F296" s="6"/>
      <c r="G296" s="9" t="s">
        <v>1209</v>
      </c>
      <c r="H296" s="180" t="s">
        <v>2448</v>
      </c>
    </row>
    <row r="297" spans="1:8" ht="15" x14ac:dyDescent="0.2">
      <c r="A297" s="20" t="s">
        <v>2356</v>
      </c>
      <c r="F297" s="6"/>
      <c r="G297" s="5" t="s">
        <v>1212</v>
      </c>
      <c r="H297" s="180" t="s">
        <v>2449</v>
      </c>
    </row>
    <row r="298" spans="1:8" ht="102" x14ac:dyDescent="0.2">
      <c r="A298" s="20" t="s">
        <v>1214</v>
      </c>
      <c r="F298" s="6"/>
      <c r="G298" s="6"/>
      <c r="H298" s="180" t="s">
        <v>2450</v>
      </c>
    </row>
    <row r="299" spans="1:8" ht="127.5" x14ac:dyDescent="0.2">
      <c r="A299" s="20" t="s">
        <v>1217</v>
      </c>
      <c r="F299" s="6"/>
      <c r="H299" s="7" t="s">
        <v>1219</v>
      </c>
    </row>
    <row r="300" spans="1:8" ht="25.5" x14ac:dyDescent="0.2">
      <c r="A300" s="20" t="s">
        <v>2357</v>
      </c>
      <c r="F300" s="13"/>
      <c r="G300" s="5" t="s">
        <v>1221</v>
      </c>
      <c r="H300" s="7" t="s">
        <v>1223</v>
      </c>
    </row>
    <row r="301" spans="1:8" ht="15" x14ac:dyDescent="0.2">
      <c r="A301" s="20" t="s">
        <v>2358</v>
      </c>
      <c r="F301" s="6"/>
      <c r="G301" s="5" t="s">
        <v>1225</v>
      </c>
      <c r="H301" s="7" t="s">
        <v>1227</v>
      </c>
    </row>
    <row r="302" spans="1:8" ht="25.5" x14ac:dyDescent="0.2">
      <c r="A302" s="20" t="s">
        <v>2359</v>
      </c>
      <c r="F302" s="6"/>
      <c r="G302" s="5" t="s">
        <v>1229</v>
      </c>
      <c r="H302" s="7" t="s">
        <v>1231</v>
      </c>
    </row>
    <row r="303" spans="1:8" ht="15" x14ac:dyDescent="0.2">
      <c r="A303" s="20" t="s">
        <v>2360</v>
      </c>
      <c r="F303" s="6"/>
      <c r="G303" s="5" t="s">
        <v>1233</v>
      </c>
      <c r="H303" s="7"/>
    </row>
    <row r="304" spans="1:8" ht="89.25" x14ac:dyDescent="0.2">
      <c r="A304" s="20" t="s">
        <v>1234</v>
      </c>
      <c r="F304" s="6"/>
      <c r="H304" s="7" t="s">
        <v>1236</v>
      </c>
    </row>
    <row r="305" spans="1:9" ht="15" x14ac:dyDescent="0.2">
      <c r="A305" s="20" t="s">
        <v>1237</v>
      </c>
      <c r="F305" s="6"/>
      <c r="G305" s="6"/>
      <c r="H305" s="7"/>
    </row>
    <row r="306" spans="1:9" ht="51" x14ac:dyDescent="0.2">
      <c r="A306" s="20" t="s">
        <v>1239</v>
      </c>
      <c r="F306" s="6"/>
      <c r="H306" s="7" t="s">
        <v>1241</v>
      </c>
    </row>
    <row r="307" spans="1:9" ht="15" x14ac:dyDescent="0.2">
      <c r="A307" s="20" t="s">
        <v>1242</v>
      </c>
      <c r="F307" s="116"/>
      <c r="G307" s="119"/>
      <c r="H307" s="181" t="s">
        <v>2451</v>
      </c>
      <c r="I307" s="10">
        <v>1</v>
      </c>
    </row>
    <row r="308" spans="1:9" ht="51" x14ac:dyDescent="0.2">
      <c r="A308" s="20" t="s">
        <v>1245</v>
      </c>
      <c r="F308" s="6" t="s">
        <v>1249</v>
      </c>
      <c r="G308" s="5" t="s">
        <v>1246</v>
      </c>
      <c r="H308" s="7" t="s">
        <v>1250</v>
      </c>
    </row>
    <row r="309" spans="1:9" ht="25.5" x14ac:dyDescent="0.2">
      <c r="A309" s="20" t="s">
        <v>2361</v>
      </c>
      <c r="F309" s="6"/>
      <c r="G309" s="5" t="s">
        <v>1252</v>
      </c>
      <c r="H309" s="180" t="s">
        <v>2452</v>
      </c>
    </row>
    <row r="310" spans="1:9" ht="15" x14ac:dyDescent="0.2">
      <c r="A310" s="20" t="s">
        <v>2362</v>
      </c>
      <c r="F310" s="6"/>
      <c r="G310" s="5" t="s">
        <v>1256</v>
      </c>
      <c r="H310" s="180" t="s">
        <v>2453</v>
      </c>
    </row>
    <row r="311" spans="1:9" ht="30" x14ac:dyDescent="0.2">
      <c r="A311" s="20" t="s">
        <v>2363</v>
      </c>
      <c r="F311" s="6"/>
      <c r="G311" s="5" t="s">
        <v>1259</v>
      </c>
      <c r="H311" s="7" t="s">
        <v>1260</v>
      </c>
    </row>
    <row r="312" spans="1:9" ht="15" x14ac:dyDescent="0.2">
      <c r="A312" s="20" t="s">
        <v>2364</v>
      </c>
      <c r="F312" s="6"/>
      <c r="G312" s="5" t="s">
        <v>1262</v>
      </c>
      <c r="H312" s="7"/>
    </row>
    <row r="313" spans="1:9" ht="15" x14ac:dyDescent="0.2">
      <c r="A313" s="20" t="s">
        <v>2365</v>
      </c>
      <c r="F313" s="116"/>
      <c r="G313" s="115" t="s">
        <v>1264</v>
      </c>
      <c r="H313" s="181" t="s">
        <v>2454</v>
      </c>
      <c r="I313" s="10">
        <v>1</v>
      </c>
    </row>
    <row r="314" spans="1:9" ht="15" x14ac:dyDescent="0.2">
      <c r="A314" s="20" t="s">
        <v>2366</v>
      </c>
      <c r="F314" s="6"/>
      <c r="G314" s="5" t="s">
        <v>1268</v>
      </c>
      <c r="H314" s="180" t="s">
        <v>2455</v>
      </c>
    </row>
    <row r="315" spans="1:9" ht="15" x14ac:dyDescent="0.2">
      <c r="A315" s="20" t="s">
        <v>2367</v>
      </c>
      <c r="F315" s="6"/>
      <c r="G315" s="5" t="s">
        <v>1272</v>
      </c>
      <c r="H315" s="180" t="s">
        <v>2456</v>
      </c>
    </row>
    <row r="316" spans="1:9" ht="15" x14ac:dyDescent="0.2">
      <c r="A316" s="20" t="s">
        <v>2368</v>
      </c>
      <c r="F316" s="6"/>
      <c r="G316" s="5" t="s">
        <v>1275</v>
      </c>
      <c r="H316" s="7"/>
    </row>
    <row r="317" spans="1:9" ht="15" x14ac:dyDescent="0.2">
      <c r="A317" s="20" t="s">
        <v>2369</v>
      </c>
      <c r="F317" s="6"/>
      <c r="G317" s="5" t="s">
        <v>1277</v>
      </c>
      <c r="H317" s="7"/>
    </row>
    <row r="318" spans="1:9" ht="15" x14ac:dyDescent="0.2">
      <c r="A318" s="20" t="s">
        <v>2370</v>
      </c>
      <c r="F318" s="6"/>
      <c r="G318" s="5" t="s">
        <v>1279</v>
      </c>
      <c r="H318" s="180" t="s">
        <v>2457</v>
      </c>
    </row>
    <row r="319" spans="1:9" ht="15" x14ac:dyDescent="0.2">
      <c r="A319" s="20" t="s">
        <v>2371</v>
      </c>
      <c r="F319" s="116"/>
      <c r="G319" s="115" t="s">
        <v>1284</v>
      </c>
      <c r="H319" s="181" t="s">
        <v>2458</v>
      </c>
      <c r="I319" s="10">
        <v>1</v>
      </c>
    </row>
    <row r="320" spans="1:9" ht="15.75" x14ac:dyDescent="0.2">
      <c r="A320" s="20" t="s">
        <v>1905</v>
      </c>
      <c r="F320" s="126"/>
      <c r="G320" s="126"/>
      <c r="H320" s="126"/>
      <c r="I320" s="10">
        <v>1</v>
      </c>
    </row>
  </sheetData>
  <conditionalFormatting sqref="A81">
    <cfRule type="duplicateValues" dxfId="3" priority="1"/>
  </conditionalFormatting>
  <conditionalFormatting sqref="A82 A84:A87 A89:A93">
    <cfRule type="expression" dxfId="2" priority="2" stopIfTrue="1">
      <formula>AND(COUNTIF($B$5:$B$8, A82)+COUNTIF($B$3:$B$3, A82)+COUNTIF($B$10:$B$14, A82)&gt;1,NOT(ISBLANK(A82)))</formula>
    </cfRule>
  </conditionalFormatting>
  <hyperlinks>
    <hyperlink ref="F12" r:id="rId1" xr:uid="{39F5CEB8-0A33-4ACC-96F1-CF573CD510B8}"/>
    <hyperlink ref="F15" r:id="rId2" xr:uid="{A00B50B1-ADC2-4BAC-A537-6ABCB92CB68E}"/>
    <hyperlink ref="F2" r:id="rId3" xr:uid="{897B1AD1-FE8B-44A0-BB2E-62676CB62892}"/>
    <hyperlink ref="E4" r:id="rId4" xr:uid="{6DD75162-0E23-4537-A484-164E468AABCF}"/>
    <hyperlink ref="F4" r:id="rId5" xr:uid="{38054359-73D1-420F-9B8B-AEF408F005EA}"/>
    <hyperlink ref="F13" r:id="rId6" xr:uid="{72FF2013-77BD-4EA7-AB4E-E7CEC7C1DD6D}"/>
    <hyperlink ref="F26" r:id="rId7" xr:uid="{73E6F492-49BA-423C-8C8D-45F7F9C1912A}"/>
    <hyperlink ref="F27" r:id="rId8" xr:uid="{6CE19875-FBB8-4283-9AFF-6BC2ED1692CC}"/>
    <hyperlink ref="F29" r:id="rId9" xr:uid="{3DFC7CB3-D2CA-4277-AC62-B8C04DEB9036}"/>
    <hyperlink ref="B66" r:id="rId10" display="contact.spain@najeti.com" xr:uid="{3DFE80DD-FF48-4C7B-A896-529D688B5BB1}"/>
    <hyperlink ref="B69" r:id="rId11" display="michel.delempdes@omnescapital.com" xr:uid="{6A0AEC87-33E1-49CF-8835-A5A25F329667}"/>
    <hyperlink ref="B35" r:id="rId12" display="info@adventventures.com." xr:uid="{9737805F-BB60-4360-B255-CD4F474176F5}"/>
    <hyperlink ref="B60" r:id="rId13" display="info@hpegrowthcapital.com" xr:uid="{C058086C-A510-4E9D-A338-789E4ADDC10B}"/>
    <hyperlink ref="F57" r:id="rId14" xr:uid="{A7212DEF-EB11-4ED4-9194-4573CE3E5EA5}"/>
    <hyperlink ref="B59" r:id="rId15" display="info@hpegrowthcapital.com" xr:uid="{E90E8B69-24FF-4E8F-9DD7-643A1DFF92AE}"/>
    <hyperlink ref="B65" r:id="rId16" display="info@s-refit.de" xr:uid="{22FC4A32-3343-4215-9D17-5FE5CCA78DF1}"/>
    <hyperlink ref="F81" r:id="rId17" xr:uid="{2E553B51-5128-4B48-851D-CE82F410DBB4}"/>
    <hyperlink ref="F85" r:id="rId18" xr:uid="{A25AFF57-86A4-4882-8DD4-920B2663C5D4}"/>
    <hyperlink ref="F86" r:id="rId19" xr:uid="{C08B91F7-6E6D-4050-9943-06078E5C6C6C}"/>
    <hyperlink ref="G51" r:id="rId20" xr:uid="{F1D28BA3-3756-4FD8-880C-8F2BEF33F158}"/>
    <hyperlink ref="F59" r:id="rId21" xr:uid="{AB1DA22A-48F7-4375-B581-D7FAC7351747}"/>
    <hyperlink ref="F60" r:id="rId22" xr:uid="{187252D8-E31C-454B-948B-86529228F25A}"/>
    <hyperlink ref="F66" r:id="rId23" xr:uid="{946A26B0-F235-4F76-953F-3C8075E6949B}"/>
    <hyperlink ref="F77" r:id="rId24" xr:uid="{2825F19F-ABC9-4A95-9329-E162FBAD9E40}"/>
    <hyperlink ref="D103" r:id="rId25" xr:uid="{D215489C-338F-40CA-B61E-F2612296832F}"/>
    <hyperlink ref="F119" r:id="rId26" xr:uid="{07D9B036-FBE4-4E6E-9575-6B885454BCAD}"/>
    <hyperlink ref="F120" r:id="rId27" xr:uid="{EA30478B-3D0D-4BA7-88A6-B5B05C97559B}"/>
    <hyperlink ref="F123" r:id="rId28" xr:uid="{6617BACD-E2A5-4FDE-B844-A57502E526F7}"/>
    <hyperlink ref="F126" r:id="rId29" xr:uid="{6BBE4797-9869-4B7C-89FA-39A0787BE3C5}"/>
    <hyperlink ref="G22" r:id="rId30" xr:uid="{A53EF1B4-C9B8-47B9-A8EA-1100FC7B0DCF}"/>
    <hyperlink ref="G23" r:id="rId31" xr:uid="{5AD8127F-C071-4FA2-8DEA-2CA58E4B3CC8}"/>
    <hyperlink ref="G24" r:id="rId32" xr:uid="{D20EB4E6-1C78-49BB-B303-E4720B0064D0}"/>
    <hyperlink ref="G25" r:id="rId33" xr:uid="{318DFB44-82A0-4256-8AF6-72B5B12875D6}"/>
    <hyperlink ref="G26" r:id="rId34" xr:uid="{12D85F16-DE15-42BE-B221-7AAC020D0809}"/>
    <hyperlink ref="G27" r:id="rId35" xr:uid="{2410C28F-A508-4F64-8D9F-A4573A87B933}"/>
    <hyperlink ref="G29" r:id="rId36" xr:uid="{0C99C588-19F0-44A6-8602-6EB9BDD47220}"/>
    <hyperlink ref="G308" r:id="rId37" xr:uid="{06DFE6F7-0DF0-4AAB-AD70-DAA640F2212C}"/>
    <hyperlink ref="G265" r:id="rId38" xr:uid="{D24FA4D1-5C7B-4EE2-BB3B-DF8ED0872E35}"/>
    <hyperlink ref="G264" r:id="rId39" xr:uid="{3D75490B-ECF1-432A-B741-AF61F7699AA9}"/>
    <hyperlink ref="G281" r:id="rId40" xr:uid="{1090F6C8-D774-4557-AC7F-F294B9DC6939}"/>
    <hyperlink ref="G157" r:id="rId41" xr:uid="{8A31E493-93AE-4E59-AF93-05F7B94299FE}"/>
    <hyperlink ref="G133" r:id="rId42" xr:uid="{A520DE02-1384-443F-9D33-F7E41A1847D6}"/>
    <hyperlink ref="G135" r:id="rId43" xr:uid="{605B3513-3F78-4FBB-8CBE-2C4521BCB4BB}"/>
    <hyperlink ref="G136" r:id="rId44" xr:uid="{7609DE21-448D-4702-A6D4-F1153818656A}"/>
    <hyperlink ref="G137" r:id="rId45" xr:uid="{E7655A9B-44E4-4717-AFEE-0047019061DA}"/>
    <hyperlink ref="G138" r:id="rId46" xr:uid="{5C31D868-9A1D-40B0-889E-9BDF8D8C979E}"/>
    <hyperlink ref="G139" r:id="rId47" xr:uid="{0864772D-8E17-4C8D-80CC-96BC592B203D}"/>
    <hyperlink ref="G140" r:id="rId48" xr:uid="{6AF12FF0-4019-4A93-924C-B6910C7CBB21}"/>
    <hyperlink ref="G141" r:id="rId49" xr:uid="{A93527D5-35AD-499A-8954-AD84A95F4A7F}"/>
    <hyperlink ref="G142" r:id="rId50" xr:uid="{76058E33-CC24-4AD3-B86D-31B8E1D18DEC}"/>
    <hyperlink ref="G143" r:id="rId51" xr:uid="{C7D81ACE-5581-4630-B8B4-466F1C6091FF}"/>
    <hyperlink ref="G144" r:id="rId52" xr:uid="{ECDD4AB9-C7C4-41D9-BCD4-73539294A6AE}"/>
    <hyperlink ref="G145" r:id="rId53" xr:uid="{898545E8-B2B1-44B0-B49A-C26940CDBB66}"/>
    <hyperlink ref="G146" r:id="rId54" xr:uid="{AE68E110-2CBD-4C09-A7F5-09260244384C}"/>
    <hyperlink ref="G147" r:id="rId55" xr:uid="{7F21610C-6850-46B7-A532-3F4D8E0B6AD8}"/>
    <hyperlink ref="G148" r:id="rId56" xr:uid="{E441ECDA-06B8-42E9-BE2B-8FDC502A590D}"/>
    <hyperlink ref="G149" r:id="rId57" xr:uid="{5F41CE12-0077-4931-AAB4-6A480725C68F}"/>
    <hyperlink ref="G150" r:id="rId58" xr:uid="{682C6082-ACF7-4FDE-87F8-FC54837945E8}"/>
    <hyperlink ref="G151" r:id="rId59" xr:uid="{4203A86E-9495-4D85-B4E5-116427B7E6AF}"/>
    <hyperlink ref="G152" r:id="rId60" xr:uid="{D8B1D34A-7047-48BC-BC6B-3A00F2E11290}"/>
    <hyperlink ref="G154" r:id="rId61" xr:uid="{3B2B4361-04EA-47B6-BE24-50C2B43045EC}"/>
    <hyperlink ref="G155" r:id="rId62" xr:uid="{B18D4FDA-6882-43AC-BA9F-6FF8206AF4B8}"/>
    <hyperlink ref="G156" r:id="rId63" xr:uid="{AA323DD0-8B82-46E3-86E8-0EB0916E18F8}"/>
    <hyperlink ref="G158" r:id="rId64" xr:uid="{BA2A80EE-38F4-416B-8D21-07005FB0773B}"/>
    <hyperlink ref="G159" r:id="rId65" xr:uid="{8B92A62A-99C5-4374-8F38-BBFB462779E5}"/>
    <hyperlink ref="G160" r:id="rId66" xr:uid="{BBC054F1-1EF5-4179-ADD7-272ED5808D5C}"/>
    <hyperlink ref="G161" r:id="rId67" xr:uid="{A23BFD41-BDEA-48BD-A6C2-BCEDA4966072}"/>
    <hyperlink ref="G165" r:id="rId68" location="que-es-cupido" xr:uid="{C9E97544-742E-4414-9AC9-AAF2857D3C29}"/>
    <hyperlink ref="G166" r:id="rId69" xr:uid="{B1A4C8BC-C1BE-4EAD-8BC4-1F06E8D97326}"/>
    <hyperlink ref="G167" r:id="rId70" xr:uid="{D48AC33B-F94E-42C9-9FC9-1C44519AD578}"/>
    <hyperlink ref="G168" r:id="rId71" xr:uid="{AFA273A6-1D3F-4BC2-933F-C253385F46E5}"/>
    <hyperlink ref="G169" r:id="rId72" xr:uid="{24AA8E82-696F-4705-9CB1-55E932B16581}"/>
    <hyperlink ref="G170" r:id="rId73" xr:uid="{3101AA52-0B63-47BB-B7F9-C411177F2BCA}"/>
    <hyperlink ref="G171" r:id="rId74" xr:uid="{02454D4A-2BD4-4F87-B2D2-1920617C05CB}"/>
    <hyperlink ref="G172" r:id="rId75" xr:uid="{653CDBC6-706F-4967-9B7B-B74A08A75A92}"/>
    <hyperlink ref="G176" r:id="rId76" xr:uid="{C561129F-2321-4C87-B34B-634174661FEC}"/>
    <hyperlink ref="G177" r:id="rId77" xr:uid="{30EEA4B1-F634-4211-82DE-9F68696D3F65}"/>
    <hyperlink ref="G178" r:id="rId78" xr:uid="{CE5ABFD4-3E05-458A-BFD4-A84FD6FFE08C}"/>
    <hyperlink ref="G179" r:id="rId79" xr:uid="{89CBE8F7-7608-4468-8075-9C74BBCDBA2C}"/>
    <hyperlink ref="G181" r:id="rId80" xr:uid="{FD0329B4-10E5-44A9-A97C-584FEB3C0785}"/>
    <hyperlink ref="G183" r:id="rId81" xr:uid="{CA1D584D-92AA-4061-8D6D-9F7B86DAC40D}"/>
    <hyperlink ref="G185" r:id="rId82" xr:uid="{C617B7A5-9F21-4C9F-9463-F6D2A4258EDC}"/>
    <hyperlink ref="G186" r:id="rId83" xr:uid="{5B3EE61C-E2CC-4C85-A3E3-1F90B3401F92}"/>
    <hyperlink ref="G187" r:id="rId84" xr:uid="{696FBC9D-0E74-4452-A16D-CC2B0B45CACB}"/>
    <hyperlink ref="G188" r:id="rId85" xr:uid="{87230515-2E68-4BBB-B685-00A2EE66C54E}"/>
    <hyperlink ref="G189" r:id="rId86" xr:uid="{CF07202F-FB9F-4A6E-AC8A-A1D124982BEF}"/>
    <hyperlink ref="G190" r:id="rId87" xr:uid="{DEB26439-DC5C-4D90-814B-A68846DDB5FE}"/>
    <hyperlink ref="G191" r:id="rId88" xr:uid="{72AC9115-8315-4C71-8D07-F969D0942F3F}"/>
    <hyperlink ref="G194" r:id="rId89" xr:uid="{693E8496-98D8-4865-A439-D4139682F1BE}"/>
    <hyperlink ref="G195" r:id="rId90" xr:uid="{0A4A2D67-D747-495D-8A36-D3EE53880BD8}"/>
    <hyperlink ref="G246" r:id="rId91" xr:uid="{C6267059-77A1-4A3C-A749-81B3F1ACD7C5}"/>
    <hyperlink ref="G248" r:id="rId92" xr:uid="{683215B0-4908-4AFC-B3AB-20371B23D485}"/>
    <hyperlink ref="G249" r:id="rId93" xr:uid="{97EC4F5D-F635-47A2-99B2-7E5F8546A0B7}"/>
    <hyperlink ref="G250" r:id="rId94" xr:uid="{1F071E31-5575-4C30-A61A-6B7227C3CBF0}"/>
    <hyperlink ref="G251" r:id="rId95" xr:uid="{85D78392-83CA-4918-BB31-8F53E7DA2B58}"/>
    <hyperlink ref="G252" r:id="rId96" xr:uid="{6475B6DD-82E6-41A6-B4B2-F9D6273FEECD}"/>
    <hyperlink ref="G253" r:id="rId97" xr:uid="{1D976697-90DC-4E93-BCE7-F2A8D279D488}"/>
    <hyperlink ref="G254" r:id="rId98" xr:uid="{89A8771D-44E9-443B-8803-FFF835BE470E}"/>
    <hyperlink ref="G255" r:id="rId99" xr:uid="{18727E4B-044A-4FD1-8799-38C3E16EC553}"/>
    <hyperlink ref="G256" r:id="rId100" xr:uid="{00A42DEB-9BFD-447C-ABF1-77777898C20D}"/>
    <hyperlink ref="G257" r:id="rId101" xr:uid="{710FC695-9822-45FE-8D77-EED962368B39}"/>
    <hyperlink ref="G258" r:id="rId102" xr:uid="{27EE7DEC-A016-43B7-9D9A-84F18B0EDEDC}"/>
    <hyperlink ref="G259" r:id="rId103" xr:uid="{FD1A3333-7223-4A6D-8AF9-73A0C767E56C}"/>
    <hyperlink ref="G260" r:id="rId104" xr:uid="{519F1CA9-C9F7-4936-A257-0DC628D0111A}"/>
    <hyperlink ref="G263" r:id="rId105" xr:uid="{815BEF46-3C01-4B0F-8A2F-82D4D410E204}"/>
    <hyperlink ref="G266" r:id="rId106" xr:uid="{514959AB-EB54-4D45-A36E-4AF0A31DCC66}"/>
    <hyperlink ref="G267" r:id="rId107" xr:uid="{5F5CB3B1-469B-49C1-935E-A03E801E56B5}"/>
    <hyperlink ref="G269" r:id="rId108" xr:uid="{89D32248-C3AA-4000-BB8E-561FD6A2D770}"/>
    <hyperlink ref="G270" r:id="rId109" xr:uid="{01F56DDB-F7D0-4D57-A783-34CB6F311A93}"/>
    <hyperlink ref="G271" r:id="rId110" xr:uid="{99E92CDB-727C-41C0-A913-662422B7FBF5}"/>
    <hyperlink ref="G272" r:id="rId111" xr:uid="{792C4444-5222-40F3-8EEB-FBB656F0526A}"/>
    <hyperlink ref="G273" r:id="rId112" xr:uid="{CAE628ED-D146-4D64-8E93-7CC430C1113C}"/>
    <hyperlink ref="G274" r:id="rId113" xr:uid="{D9B9A270-36BE-483E-9C4C-571BCB0ED2E3}"/>
    <hyperlink ref="G275" r:id="rId114" xr:uid="{909C70EE-E87C-41F1-AE76-3574F4D05FB7}"/>
    <hyperlink ref="G276" r:id="rId115" xr:uid="{C23F72E0-1B6D-4071-9A28-867AE001B810}"/>
    <hyperlink ref="G277" r:id="rId116" xr:uid="{D987A14F-5A7B-4EF1-8146-2F2A305B3D3A}"/>
    <hyperlink ref="G278" r:id="rId117" xr:uid="{46349690-654A-41FC-B76F-CF164441B347}"/>
    <hyperlink ref="G279" r:id="rId118" xr:uid="{F3A38415-4267-4F27-8743-DC2FCABB2D16}"/>
    <hyperlink ref="G282" r:id="rId119" xr:uid="{33886A7A-6DF2-4800-99E3-F1F1BAF2396A}"/>
    <hyperlink ref="G283" r:id="rId120" xr:uid="{D9248EB3-C9D3-4A32-821E-38AAD1086273}"/>
    <hyperlink ref="G284" r:id="rId121" xr:uid="{67660619-3388-4012-8B8A-E2EADF4CBD61}"/>
    <hyperlink ref="G285" r:id="rId122" xr:uid="{63EF74FA-4CFC-42F6-B6C8-77BFBA453F76}"/>
    <hyperlink ref="G286" r:id="rId123" xr:uid="{A7334C21-DF74-4473-A88E-144FF7DC5355}"/>
    <hyperlink ref="G287" r:id="rId124" xr:uid="{0F8C3A6C-17EC-4E3E-95E6-49897A475346}"/>
    <hyperlink ref="G289" r:id="rId125" xr:uid="{133297DD-2451-4348-986A-4C32722060B0}"/>
    <hyperlink ref="G291" r:id="rId126" xr:uid="{5B12B881-B230-4B37-83E0-227AF309FF8F}"/>
    <hyperlink ref="G294" r:id="rId127" xr:uid="{1BE52A79-3806-4B62-94F8-F089F309FA9D}"/>
    <hyperlink ref="G296" r:id="rId128" xr:uid="{F014F8FC-FC84-4BFA-B785-18287BBE190E}"/>
    <hyperlink ref="G297" r:id="rId129" xr:uid="{532BA667-1377-4680-9033-794FC6FAB8FC}"/>
    <hyperlink ref="G300" r:id="rId130" xr:uid="{B5782CA8-C84B-4177-8675-F23BE07C8B86}"/>
    <hyperlink ref="G301" r:id="rId131" xr:uid="{36EBCF8F-3813-428D-BEC5-775F1798CBC8}"/>
    <hyperlink ref="G302" r:id="rId132" xr:uid="{F4FD2CAC-28D7-4190-B52D-E595EA9420D6}"/>
    <hyperlink ref="G303" r:id="rId133" xr:uid="{9E58EB63-8083-459E-9741-3D67F47BE8A4}"/>
    <hyperlink ref="G309" r:id="rId134" xr:uid="{D08F2797-A1E4-4FCD-A649-3ED1921CE9C6}"/>
    <hyperlink ref="G310" r:id="rId135" xr:uid="{A18FF5AC-2FF2-4D8C-9246-0CFA2EE29B32}"/>
    <hyperlink ref="G311" r:id="rId136" xr:uid="{7E2763FC-B8CD-49B3-B6FF-FA34E2E89320}"/>
    <hyperlink ref="G312" r:id="rId137" xr:uid="{68100434-284A-464E-9E4A-22205A39167B}"/>
    <hyperlink ref="G313" r:id="rId138" xr:uid="{76D36068-FDF3-49B4-B1F0-C1EB3A24F705}"/>
    <hyperlink ref="G314" r:id="rId139" xr:uid="{FBC9D81B-98BE-404E-8B35-506EF75BC13A}"/>
    <hyperlink ref="G315" r:id="rId140" xr:uid="{7C83341E-3618-4F0C-9886-90E04BB809D4}"/>
    <hyperlink ref="G316" r:id="rId141" xr:uid="{5ED91C7D-4B14-4A5D-8DD2-4C938A373D23}"/>
    <hyperlink ref="G317" r:id="rId142" xr:uid="{055A3BAE-2D90-43CD-B47C-4BB673192C50}"/>
    <hyperlink ref="G318" r:id="rId143" xr:uid="{0CD5F388-AD76-41A3-AC8C-3ACCED9EBA7D}"/>
    <hyperlink ref="G319" r:id="rId144" xr:uid="{4B7AA87C-6644-4890-A92E-682A032123D8}"/>
    <hyperlink ref="G180" r:id="rId145" xr:uid="{D3574562-65B7-4C2B-8DCF-B87B3CE1FF0D}"/>
    <hyperlink ref="G192" r:id="rId146" xr:uid="{A54219BF-E39C-41CB-8756-3B089E90312B}"/>
    <hyperlink ref="G243" r:id="rId147" xr:uid="{B2986028-1A60-4667-8868-699E45B2F8CC}"/>
    <hyperlink ref="G242" r:id="rId148" xr:uid="{5D346E0D-9383-4DE8-B226-613B0F041D81}"/>
    <hyperlink ref="G241" r:id="rId149" xr:uid="{DC7614F2-2873-42B9-B6AF-D87C23723ABE}"/>
    <hyperlink ref="G240" r:id="rId150" xr:uid="{64B7F5BF-3692-4252-87E1-591F44F3E467}"/>
    <hyperlink ref="G239" r:id="rId151" xr:uid="{947D916F-580C-47D9-BD47-067CCEDB7F77}"/>
    <hyperlink ref="G238" r:id="rId152" xr:uid="{ABFE9F5A-0B98-4C1E-B7B9-E84B4D4FD5B6}"/>
    <hyperlink ref="G237" r:id="rId153" xr:uid="{87ED9CD2-F028-433B-B3D8-BB2E34E7B7F3}"/>
    <hyperlink ref="G236" r:id="rId154" xr:uid="{F56E7FFE-3C58-4E0A-9226-A94EA52BAE3E}"/>
    <hyperlink ref="G235" r:id="rId155" xr:uid="{334F3187-1141-4FB4-B24B-A218F7EB8A9B}"/>
    <hyperlink ref="G233" r:id="rId156" xr:uid="{A6612433-8622-4270-8FDB-C298726E2EF0}"/>
    <hyperlink ref="G231" r:id="rId157" xr:uid="{52FC2CDD-8416-46DB-B580-E2B2FAE8D50C}"/>
    <hyperlink ref="G230" r:id="rId158" xr:uid="{771AD548-28AA-4B87-914F-105FCF6E934D}"/>
    <hyperlink ref="G229" r:id="rId159" xr:uid="{5B309C5C-F9EA-4B4F-9994-BFD660828A95}"/>
    <hyperlink ref="G228" r:id="rId160" xr:uid="{6EA43074-067E-413C-80E3-6ED562848220}"/>
    <hyperlink ref="G227" r:id="rId161" xr:uid="{883EF053-8D3F-46CE-9D86-15EED4E38AFE}"/>
    <hyperlink ref="G226" r:id="rId162" xr:uid="{0F204B1F-C911-4A28-B979-D16B7880EB75}"/>
    <hyperlink ref="G225" r:id="rId163" xr:uid="{D6361A05-2895-41B3-A47B-E8FC57D9A992}"/>
    <hyperlink ref="G224" r:id="rId164" xr:uid="{A4D9E122-6702-4BC1-B22B-72788A530880}"/>
    <hyperlink ref="G223" r:id="rId165" xr:uid="{1EBB70A7-B002-46A0-9727-DD862C3FBC0B}"/>
    <hyperlink ref="G222" r:id="rId166" xr:uid="{E4099ACD-9511-41A0-BCC1-A7599DA4A829}"/>
    <hyperlink ref="G221" r:id="rId167" xr:uid="{1527A3F2-954F-4E0B-A511-749CC5F31046}"/>
    <hyperlink ref="G220" r:id="rId168" xr:uid="{E711C5B1-7C9B-44DC-B220-91C2CBEE5E85}"/>
    <hyperlink ref="G219" r:id="rId169" xr:uid="{193F485E-EC78-4943-A2FB-B22DA7EF23D0}"/>
    <hyperlink ref="G218" r:id="rId170" xr:uid="{4EABFC83-9072-472F-BA02-F6F316AF2F16}"/>
    <hyperlink ref="G217" r:id="rId171" xr:uid="{D6B826C6-8F71-4151-8D99-D0123E5AAE36}"/>
    <hyperlink ref="G216" r:id="rId172" xr:uid="{E30E28FD-045F-476F-A298-8B9372AB3DB6}"/>
    <hyperlink ref="G215" r:id="rId173" xr:uid="{8BA0DE38-F6B3-4139-9860-6226CED21378}"/>
    <hyperlink ref="G214" r:id="rId174" xr:uid="{3D2A7D71-C63B-4A83-8432-71F5258E3E5F}"/>
    <hyperlink ref="G213" r:id="rId175" xr:uid="{7C8EF971-9076-4D2B-9FA1-4C528D5619F3}"/>
    <hyperlink ref="G212" r:id="rId176" xr:uid="{DF3B55BE-45F3-4EF1-95EA-5353912F7885}"/>
    <hyperlink ref="G210" r:id="rId177" xr:uid="{CB8B7985-6951-4C51-979A-8E59F581AB90}"/>
    <hyperlink ref="G209" r:id="rId178" xr:uid="{D993C94A-0454-4232-B701-5599A8A47687}"/>
    <hyperlink ref="G208" r:id="rId179" xr:uid="{8FA2F330-19E7-45AC-8BCD-1447021EC883}"/>
    <hyperlink ref="G207" r:id="rId180" xr:uid="{171456E1-0CD0-4BC4-A6C8-C817C2163D16}"/>
    <hyperlink ref="G206" r:id="rId181" xr:uid="{CF6F2537-F7A2-4C83-BD84-4CD6B012C879}"/>
    <hyperlink ref="G204" r:id="rId182" xr:uid="{6C23511C-7235-4487-B46D-E1B01F357FB7}"/>
    <hyperlink ref="G132" r:id="rId183" xr:uid="{1FE09985-D09F-4D15-BDD3-553A8658E35B}"/>
    <hyperlink ref="G128" r:id="rId184" xr:uid="{59AA79F2-5ABA-43E8-8C8C-3F529C37F872}"/>
    <hyperlink ref="G129" r:id="rId185" xr:uid="{0306111E-B717-41F6-B425-7CF6A67FCADC}"/>
    <hyperlink ref="F143" r:id="rId186" xr:uid="{E4959474-955F-4F8D-A238-A36E66309C8D}"/>
    <hyperlink ref="F146" r:id="rId187" xr:uid="{E668BF5F-9447-45D4-9FA8-93E9A0B0A25F}"/>
    <hyperlink ref="F147" r:id="rId188" xr:uid="{EA7BB76C-79E7-4375-9B51-81159424EB7A}"/>
    <hyperlink ref="F142" r:id="rId189" xr:uid="{0ADCD335-A134-44A6-AB52-4640D6E52CF5}"/>
    <hyperlink ref="F129" r:id="rId190" xr:uid="{7D9C2453-783A-49F4-BFB6-FBB14883A4D1}"/>
    <hyperlink ref="F130" r:id="rId191" xr:uid="{ED39E268-970C-4C4E-85F4-DA16E72182EE}"/>
    <hyperlink ref="F131" r:id="rId192" xr:uid="{27131AF1-7D43-4C67-A17B-834BCCCBC080}"/>
    <hyperlink ref="F148" r:id="rId193" xr:uid="{8259CBBD-B1C6-4664-BC67-6EE3BE164898}"/>
    <hyperlink ref="F149" r:id="rId194" xr:uid="{60FCFC73-C3EC-47C8-B66D-E01F94BB2FBC}"/>
    <hyperlink ref="F150" r:id="rId195" xr:uid="{0DDAC4EA-95DE-416A-B52D-A9D2D728D138}"/>
    <hyperlink ref="F151" r:id="rId196" xr:uid="{735B017D-34DE-4901-A0C8-971A92B57908}"/>
    <hyperlink ref="F152" r:id="rId197" xr:uid="{3727F9D9-D1A3-47DC-AD12-1ED648103BB1}"/>
    <hyperlink ref="F153" r:id="rId198" xr:uid="{3BE85923-E2F5-4789-AE2B-CE21D84E876A}"/>
    <hyperlink ref="F154" r:id="rId199" xr:uid="{FDA2A562-42A3-4D44-B044-BEC878E3A7A3}"/>
    <hyperlink ref="F156" r:id="rId200" xr:uid="{48323BC3-431A-47BA-85D4-A178DDF5E4C2}"/>
    <hyperlink ref="F157" r:id="rId201" xr:uid="{BB758583-FE43-4ECD-B27C-5C50F4FA0E25}"/>
    <hyperlink ref="F163" r:id="rId202" xr:uid="{C1B7AA13-CB34-4C0C-B0B3-430563854BBC}"/>
    <hyperlink ref="F162" r:id="rId203" xr:uid="{0E6C9241-9A67-4626-BB9E-56140B997BFF}"/>
    <hyperlink ref="F160" r:id="rId204" xr:uid="{6EBA8F14-5999-4ABE-80A3-1ABBEA819C67}"/>
    <hyperlink ref="F159" r:id="rId205" xr:uid="{6C92F1C7-7899-4775-BADD-8CBD6AB1BB81}"/>
    <hyperlink ref="F164" r:id="rId206" xr:uid="{28A2C319-5674-46CB-A6D7-DF0DB9838315}"/>
    <hyperlink ref="F165" r:id="rId207" xr:uid="{6A6192E1-7444-4327-9522-91D7087366BF}"/>
    <hyperlink ref="F166" r:id="rId208" xr:uid="{20B55E84-0585-4B9F-9BF8-82EE3D365AAE}"/>
    <hyperlink ref="F167" r:id="rId209" xr:uid="{E6942B40-3BB4-4F44-BACD-E076C438FBD5}"/>
    <hyperlink ref="F168" r:id="rId210" xr:uid="{C9847DA0-827A-4358-A711-E48655C2B42F}"/>
    <hyperlink ref="F169" r:id="rId211" xr:uid="{3C80789E-41B2-468B-AF65-9D2B280AE30D}"/>
    <hyperlink ref="F170" r:id="rId212" xr:uid="{7BA279CD-9A9E-4DE6-8C13-F1B039DEDD1D}"/>
    <hyperlink ref="F171" r:id="rId213" xr:uid="{0D143397-E705-4B09-8310-15C749AEFFCA}"/>
    <hyperlink ref="F172" r:id="rId214" xr:uid="{ABA6EC32-BEAE-4F2B-AFA7-F3947EB46D46}"/>
    <hyperlink ref="F173" r:id="rId215" xr:uid="{D026D850-827E-48CF-B68B-F769F506CD90}"/>
    <hyperlink ref="F174" r:id="rId216" xr:uid="{1B326A3E-0E73-4628-B6CB-0F99AE1B3573}"/>
    <hyperlink ref="F175" r:id="rId217" xr:uid="{117931B2-15EA-4139-AA62-87134A4A2696}"/>
    <hyperlink ref="F176" r:id="rId218" xr:uid="{13364FBD-638C-4F33-9DF1-68916A234520}"/>
    <hyperlink ref="F177" r:id="rId219" xr:uid="{D40DAF14-CE4D-4F83-A12C-EE6E0AB178EF}"/>
    <hyperlink ref="H254" r:id="rId220" xr:uid="{DF4F9852-77E1-427D-B9A4-6710C38C5F0A}"/>
    <hyperlink ref="H185" r:id="rId221" xr:uid="{412314DF-9F3A-4608-B01A-12452C6233FB}"/>
    <hyperlink ref="H231" r:id="rId222" xr:uid="{F94434D4-55E8-4D3C-9B62-2A2A2C1A4E5B}"/>
  </hyperlinks>
  <pageMargins left="0.7" right="0.7" top="0.75" bottom="0.75" header="0.3" footer="0.3"/>
  <drawing r:id="rId2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3DB89-5E2C-44E2-B9F1-7FC53A6F2D59}">
  <sheetPr>
    <tabColor rgb="FFFFFF00"/>
    <pageSetUpPr fitToPage="1"/>
  </sheetPr>
  <dimension ref="B1:K197"/>
  <sheetViews>
    <sheetView showGridLines="0" tabSelected="1" topLeftCell="D188" zoomScale="85" zoomScaleNormal="85" zoomScaleSheetLayoutView="55" workbookViewId="0">
      <selection activeCell="I2" sqref="I2:I194"/>
    </sheetView>
  </sheetViews>
  <sheetFormatPr defaultColWidth="9.28515625" defaultRowHeight="15.75" x14ac:dyDescent="0.2"/>
  <cols>
    <col min="1" max="1" width="9.28515625" style="2"/>
    <col min="2" max="2" width="57.5703125" style="2" customWidth="1"/>
    <col min="3" max="3" width="30.28515625" style="14" customWidth="1"/>
    <col min="4" max="4" width="105.85546875" style="14" customWidth="1"/>
    <col min="5" max="5" width="51.42578125" style="14" customWidth="1"/>
    <col min="6" max="6" width="31.28515625" style="14" customWidth="1"/>
    <col min="7" max="7" width="32.7109375" style="14" customWidth="1"/>
    <col min="8" max="8" width="51.28515625" style="14" customWidth="1"/>
    <col min="9" max="9" width="73.140625" style="14" customWidth="1"/>
    <col min="10" max="10" width="66.7109375" style="15" customWidth="1"/>
    <col min="11" max="11" width="142" style="15" customWidth="1"/>
    <col min="12" max="12" width="11.5703125" style="2" bestFit="1" customWidth="1"/>
    <col min="13" max="259" width="9.28515625" style="2"/>
    <col min="260" max="260" width="2.28515625" style="2" customWidth="1"/>
    <col min="261" max="261" width="22.7109375" style="2" customWidth="1"/>
    <col min="262" max="262" width="84.5703125" style="2" customWidth="1"/>
    <col min="263" max="263" width="34.7109375" style="2" customWidth="1"/>
    <col min="264" max="264" width="44.7109375" style="2" customWidth="1"/>
    <col min="265" max="265" width="30.28515625" style="2" customWidth="1"/>
    <col min="266" max="266" width="52.42578125" style="2" customWidth="1"/>
    <col min="267" max="267" width="9.28515625" style="2"/>
    <col min="268" max="268" width="11.5703125" style="2" bestFit="1" customWidth="1"/>
    <col min="269" max="515" width="9.28515625" style="2"/>
    <col min="516" max="516" width="2.28515625" style="2" customWidth="1"/>
    <col min="517" max="517" width="22.7109375" style="2" customWidth="1"/>
    <col min="518" max="518" width="84.5703125" style="2" customWidth="1"/>
    <col min="519" max="519" width="34.7109375" style="2" customWidth="1"/>
    <col min="520" max="520" width="44.7109375" style="2" customWidth="1"/>
    <col min="521" max="521" width="30.28515625" style="2" customWidth="1"/>
    <col min="522" max="522" width="52.42578125" style="2" customWidth="1"/>
    <col min="523" max="523" width="9.28515625" style="2"/>
    <col min="524" max="524" width="11.5703125" style="2" bestFit="1" customWidth="1"/>
    <col min="525" max="771" width="9.28515625" style="2"/>
    <col min="772" max="772" width="2.28515625" style="2" customWidth="1"/>
    <col min="773" max="773" width="22.7109375" style="2" customWidth="1"/>
    <col min="774" max="774" width="84.5703125" style="2" customWidth="1"/>
    <col min="775" max="775" width="34.7109375" style="2" customWidth="1"/>
    <col min="776" max="776" width="44.7109375" style="2" customWidth="1"/>
    <col min="777" max="777" width="30.28515625" style="2" customWidth="1"/>
    <col min="778" max="778" width="52.42578125" style="2" customWidth="1"/>
    <col min="779" max="779" width="9.28515625" style="2"/>
    <col min="780" max="780" width="11.5703125" style="2" bestFit="1" customWidth="1"/>
    <col min="781" max="1027" width="9.28515625" style="2"/>
    <col min="1028" max="1028" width="2.28515625" style="2" customWidth="1"/>
    <col min="1029" max="1029" width="22.7109375" style="2" customWidth="1"/>
    <col min="1030" max="1030" width="84.5703125" style="2" customWidth="1"/>
    <col min="1031" max="1031" width="34.7109375" style="2" customWidth="1"/>
    <col min="1032" max="1032" width="44.7109375" style="2" customWidth="1"/>
    <col min="1033" max="1033" width="30.28515625" style="2" customWidth="1"/>
    <col min="1034" max="1034" width="52.42578125" style="2" customWidth="1"/>
    <col min="1035" max="1035" width="9.28515625" style="2"/>
    <col min="1036" max="1036" width="11.5703125" style="2" bestFit="1" customWidth="1"/>
    <col min="1037" max="1283" width="9.28515625" style="2"/>
    <col min="1284" max="1284" width="2.28515625" style="2" customWidth="1"/>
    <col min="1285" max="1285" width="22.7109375" style="2" customWidth="1"/>
    <col min="1286" max="1286" width="84.5703125" style="2" customWidth="1"/>
    <col min="1287" max="1287" width="34.7109375" style="2" customWidth="1"/>
    <col min="1288" max="1288" width="44.7109375" style="2" customWidth="1"/>
    <col min="1289" max="1289" width="30.28515625" style="2" customWidth="1"/>
    <col min="1290" max="1290" width="52.42578125" style="2" customWidth="1"/>
    <col min="1291" max="1291" width="9.28515625" style="2"/>
    <col min="1292" max="1292" width="11.5703125" style="2" bestFit="1" customWidth="1"/>
    <col min="1293" max="1539" width="9.28515625" style="2"/>
    <col min="1540" max="1540" width="2.28515625" style="2" customWidth="1"/>
    <col min="1541" max="1541" width="22.7109375" style="2" customWidth="1"/>
    <col min="1542" max="1542" width="84.5703125" style="2" customWidth="1"/>
    <col min="1543" max="1543" width="34.7109375" style="2" customWidth="1"/>
    <col min="1544" max="1544" width="44.7109375" style="2" customWidth="1"/>
    <col min="1545" max="1545" width="30.28515625" style="2" customWidth="1"/>
    <col min="1546" max="1546" width="52.42578125" style="2" customWidth="1"/>
    <col min="1547" max="1547" width="9.28515625" style="2"/>
    <col min="1548" max="1548" width="11.5703125" style="2" bestFit="1" customWidth="1"/>
    <col min="1549" max="1795" width="9.28515625" style="2"/>
    <col min="1796" max="1796" width="2.28515625" style="2" customWidth="1"/>
    <col min="1797" max="1797" width="22.7109375" style="2" customWidth="1"/>
    <col min="1798" max="1798" width="84.5703125" style="2" customWidth="1"/>
    <col min="1799" max="1799" width="34.7109375" style="2" customWidth="1"/>
    <col min="1800" max="1800" width="44.7109375" style="2" customWidth="1"/>
    <col min="1801" max="1801" width="30.28515625" style="2" customWidth="1"/>
    <col min="1802" max="1802" width="52.42578125" style="2" customWidth="1"/>
    <col min="1803" max="1803" width="9.28515625" style="2"/>
    <col min="1804" max="1804" width="11.5703125" style="2" bestFit="1" customWidth="1"/>
    <col min="1805" max="2051" width="9.28515625" style="2"/>
    <col min="2052" max="2052" width="2.28515625" style="2" customWidth="1"/>
    <col min="2053" max="2053" width="22.7109375" style="2" customWidth="1"/>
    <col min="2054" max="2054" width="84.5703125" style="2" customWidth="1"/>
    <col min="2055" max="2055" width="34.7109375" style="2" customWidth="1"/>
    <col min="2056" max="2056" width="44.7109375" style="2" customWidth="1"/>
    <col min="2057" max="2057" width="30.28515625" style="2" customWidth="1"/>
    <col min="2058" max="2058" width="52.42578125" style="2" customWidth="1"/>
    <col min="2059" max="2059" width="9.28515625" style="2"/>
    <col min="2060" max="2060" width="11.5703125" style="2" bestFit="1" customWidth="1"/>
    <col min="2061" max="2307" width="9.28515625" style="2"/>
    <col min="2308" max="2308" width="2.28515625" style="2" customWidth="1"/>
    <col min="2309" max="2309" width="22.7109375" style="2" customWidth="1"/>
    <col min="2310" max="2310" width="84.5703125" style="2" customWidth="1"/>
    <col min="2311" max="2311" width="34.7109375" style="2" customWidth="1"/>
    <col min="2312" max="2312" width="44.7109375" style="2" customWidth="1"/>
    <col min="2313" max="2313" width="30.28515625" style="2" customWidth="1"/>
    <col min="2314" max="2314" width="52.42578125" style="2" customWidth="1"/>
    <col min="2315" max="2315" width="9.28515625" style="2"/>
    <col min="2316" max="2316" width="11.5703125" style="2" bestFit="1" customWidth="1"/>
    <col min="2317" max="2563" width="9.28515625" style="2"/>
    <col min="2564" max="2564" width="2.28515625" style="2" customWidth="1"/>
    <col min="2565" max="2565" width="22.7109375" style="2" customWidth="1"/>
    <col min="2566" max="2566" width="84.5703125" style="2" customWidth="1"/>
    <col min="2567" max="2567" width="34.7109375" style="2" customWidth="1"/>
    <col min="2568" max="2568" width="44.7109375" style="2" customWidth="1"/>
    <col min="2569" max="2569" width="30.28515625" style="2" customWidth="1"/>
    <col min="2570" max="2570" width="52.42578125" style="2" customWidth="1"/>
    <col min="2571" max="2571" width="9.28515625" style="2"/>
    <col min="2572" max="2572" width="11.5703125" style="2" bestFit="1" customWidth="1"/>
    <col min="2573" max="2819" width="9.28515625" style="2"/>
    <col min="2820" max="2820" width="2.28515625" style="2" customWidth="1"/>
    <col min="2821" max="2821" width="22.7109375" style="2" customWidth="1"/>
    <col min="2822" max="2822" width="84.5703125" style="2" customWidth="1"/>
    <col min="2823" max="2823" width="34.7109375" style="2" customWidth="1"/>
    <col min="2824" max="2824" width="44.7109375" style="2" customWidth="1"/>
    <col min="2825" max="2825" width="30.28515625" style="2" customWidth="1"/>
    <col min="2826" max="2826" width="52.42578125" style="2" customWidth="1"/>
    <col min="2827" max="2827" width="9.28515625" style="2"/>
    <col min="2828" max="2828" width="11.5703125" style="2" bestFit="1" customWidth="1"/>
    <col min="2829" max="3075" width="9.28515625" style="2"/>
    <col min="3076" max="3076" width="2.28515625" style="2" customWidth="1"/>
    <col min="3077" max="3077" width="22.7109375" style="2" customWidth="1"/>
    <col min="3078" max="3078" width="84.5703125" style="2" customWidth="1"/>
    <col min="3079" max="3079" width="34.7109375" style="2" customWidth="1"/>
    <col min="3080" max="3080" width="44.7109375" style="2" customWidth="1"/>
    <col min="3081" max="3081" width="30.28515625" style="2" customWidth="1"/>
    <col min="3082" max="3082" width="52.42578125" style="2" customWidth="1"/>
    <col min="3083" max="3083" width="9.28515625" style="2"/>
    <col min="3084" max="3084" width="11.5703125" style="2" bestFit="1" customWidth="1"/>
    <col min="3085" max="3331" width="9.28515625" style="2"/>
    <col min="3332" max="3332" width="2.28515625" style="2" customWidth="1"/>
    <col min="3333" max="3333" width="22.7109375" style="2" customWidth="1"/>
    <col min="3334" max="3334" width="84.5703125" style="2" customWidth="1"/>
    <col min="3335" max="3335" width="34.7109375" style="2" customWidth="1"/>
    <col min="3336" max="3336" width="44.7109375" style="2" customWidth="1"/>
    <col min="3337" max="3337" width="30.28515625" style="2" customWidth="1"/>
    <col min="3338" max="3338" width="52.42578125" style="2" customWidth="1"/>
    <col min="3339" max="3339" width="9.28515625" style="2"/>
    <col min="3340" max="3340" width="11.5703125" style="2" bestFit="1" customWidth="1"/>
    <col min="3341" max="3587" width="9.28515625" style="2"/>
    <col min="3588" max="3588" width="2.28515625" style="2" customWidth="1"/>
    <col min="3589" max="3589" width="22.7109375" style="2" customWidth="1"/>
    <col min="3590" max="3590" width="84.5703125" style="2" customWidth="1"/>
    <col min="3591" max="3591" width="34.7109375" style="2" customWidth="1"/>
    <col min="3592" max="3592" width="44.7109375" style="2" customWidth="1"/>
    <col min="3593" max="3593" width="30.28515625" style="2" customWidth="1"/>
    <col min="3594" max="3594" width="52.42578125" style="2" customWidth="1"/>
    <col min="3595" max="3595" width="9.28515625" style="2"/>
    <col min="3596" max="3596" width="11.5703125" style="2" bestFit="1" customWidth="1"/>
    <col min="3597" max="3843" width="9.28515625" style="2"/>
    <col min="3844" max="3844" width="2.28515625" style="2" customWidth="1"/>
    <col min="3845" max="3845" width="22.7109375" style="2" customWidth="1"/>
    <col min="3846" max="3846" width="84.5703125" style="2" customWidth="1"/>
    <col min="3847" max="3847" width="34.7109375" style="2" customWidth="1"/>
    <col min="3848" max="3848" width="44.7109375" style="2" customWidth="1"/>
    <col min="3849" max="3849" width="30.28515625" style="2" customWidth="1"/>
    <col min="3850" max="3850" width="52.42578125" style="2" customWidth="1"/>
    <col min="3851" max="3851" width="9.28515625" style="2"/>
    <col min="3852" max="3852" width="11.5703125" style="2" bestFit="1" customWidth="1"/>
    <col min="3853" max="4099" width="9.28515625" style="2"/>
    <col min="4100" max="4100" width="2.28515625" style="2" customWidth="1"/>
    <col min="4101" max="4101" width="22.7109375" style="2" customWidth="1"/>
    <col min="4102" max="4102" width="84.5703125" style="2" customWidth="1"/>
    <col min="4103" max="4103" width="34.7109375" style="2" customWidth="1"/>
    <col min="4104" max="4104" width="44.7109375" style="2" customWidth="1"/>
    <col min="4105" max="4105" width="30.28515625" style="2" customWidth="1"/>
    <col min="4106" max="4106" width="52.42578125" style="2" customWidth="1"/>
    <col min="4107" max="4107" width="9.28515625" style="2"/>
    <col min="4108" max="4108" width="11.5703125" style="2" bestFit="1" customWidth="1"/>
    <col min="4109" max="4355" width="9.28515625" style="2"/>
    <col min="4356" max="4356" width="2.28515625" style="2" customWidth="1"/>
    <col min="4357" max="4357" width="22.7109375" style="2" customWidth="1"/>
    <col min="4358" max="4358" width="84.5703125" style="2" customWidth="1"/>
    <col min="4359" max="4359" width="34.7109375" style="2" customWidth="1"/>
    <col min="4360" max="4360" width="44.7109375" style="2" customWidth="1"/>
    <col min="4361" max="4361" width="30.28515625" style="2" customWidth="1"/>
    <col min="4362" max="4362" width="52.42578125" style="2" customWidth="1"/>
    <col min="4363" max="4363" width="9.28515625" style="2"/>
    <col min="4364" max="4364" width="11.5703125" style="2" bestFit="1" customWidth="1"/>
    <col min="4365" max="4611" width="9.28515625" style="2"/>
    <col min="4612" max="4612" width="2.28515625" style="2" customWidth="1"/>
    <col min="4613" max="4613" width="22.7109375" style="2" customWidth="1"/>
    <col min="4614" max="4614" width="84.5703125" style="2" customWidth="1"/>
    <col min="4615" max="4615" width="34.7109375" style="2" customWidth="1"/>
    <col min="4616" max="4616" width="44.7109375" style="2" customWidth="1"/>
    <col min="4617" max="4617" width="30.28515625" style="2" customWidth="1"/>
    <col min="4618" max="4618" width="52.42578125" style="2" customWidth="1"/>
    <col min="4619" max="4619" width="9.28515625" style="2"/>
    <col min="4620" max="4620" width="11.5703125" style="2" bestFit="1" customWidth="1"/>
    <col min="4621" max="4867" width="9.28515625" style="2"/>
    <col min="4868" max="4868" width="2.28515625" style="2" customWidth="1"/>
    <col min="4869" max="4869" width="22.7109375" style="2" customWidth="1"/>
    <col min="4870" max="4870" width="84.5703125" style="2" customWidth="1"/>
    <col min="4871" max="4871" width="34.7109375" style="2" customWidth="1"/>
    <col min="4872" max="4872" width="44.7109375" style="2" customWidth="1"/>
    <col min="4873" max="4873" width="30.28515625" style="2" customWidth="1"/>
    <col min="4874" max="4874" width="52.42578125" style="2" customWidth="1"/>
    <col min="4875" max="4875" width="9.28515625" style="2"/>
    <col min="4876" max="4876" width="11.5703125" style="2" bestFit="1" customWidth="1"/>
    <col min="4877" max="5123" width="9.28515625" style="2"/>
    <col min="5124" max="5124" width="2.28515625" style="2" customWidth="1"/>
    <col min="5125" max="5125" width="22.7109375" style="2" customWidth="1"/>
    <col min="5126" max="5126" width="84.5703125" style="2" customWidth="1"/>
    <col min="5127" max="5127" width="34.7109375" style="2" customWidth="1"/>
    <col min="5128" max="5128" width="44.7109375" style="2" customWidth="1"/>
    <col min="5129" max="5129" width="30.28515625" style="2" customWidth="1"/>
    <col min="5130" max="5130" width="52.42578125" style="2" customWidth="1"/>
    <col min="5131" max="5131" width="9.28515625" style="2"/>
    <col min="5132" max="5132" width="11.5703125" style="2" bestFit="1" customWidth="1"/>
    <col min="5133" max="5379" width="9.28515625" style="2"/>
    <col min="5380" max="5380" width="2.28515625" style="2" customWidth="1"/>
    <col min="5381" max="5381" width="22.7109375" style="2" customWidth="1"/>
    <col min="5382" max="5382" width="84.5703125" style="2" customWidth="1"/>
    <col min="5383" max="5383" width="34.7109375" style="2" customWidth="1"/>
    <col min="5384" max="5384" width="44.7109375" style="2" customWidth="1"/>
    <col min="5385" max="5385" width="30.28515625" style="2" customWidth="1"/>
    <col min="5386" max="5386" width="52.42578125" style="2" customWidth="1"/>
    <col min="5387" max="5387" width="9.28515625" style="2"/>
    <col min="5388" max="5388" width="11.5703125" style="2" bestFit="1" customWidth="1"/>
    <col min="5389" max="5635" width="9.28515625" style="2"/>
    <col min="5636" max="5636" width="2.28515625" style="2" customWidth="1"/>
    <col min="5637" max="5637" width="22.7109375" style="2" customWidth="1"/>
    <col min="5638" max="5638" width="84.5703125" style="2" customWidth="1"/>
    <col min="5639" max="5639" width="34.7109375" style="2" customWidth="1"/>
    <col min="5640" max="5640" width="44.7109375" style="2" customWidth="1"/>
    <col min="5641" max="5641" width="30.28515625" style="2" customWidth="1"/>
    <col min="5642" max="5642" width="52.42578125" style="2" customWidth="1"/>
    <col min="5643" max="5643" width="9.28515625" style="2"/>
    <col min="5644" max="5644" width="11.5703125" style="2" bestFit="1" customWidth="1"/>
    <col min="5645" max="5891" width="9.28515625" style="2"/>
    <col min="5892" max="5892" width="2.28515625" style="2" customWidth="1"/>
    <col min="5893" max="5893" width="22.7109375" style="2" customWidth="1"/>
    <col min="5894" max="5894" width="84.5703125" style="2" customWidth="1"/>
    <col min="5895" max="5895" width="34.7109375" style="2" customWidth="1"/>
    <col min="5896" max="5896" width="44.7109375" style="2" customWidth="1"/>
    <col min="5897" max="5897" width="30.28515625" style="2" customWidth="1"/>
    <col min="5898" max="5898" width="52.42578125" style="2" customWidth="1"/>
    <col min="5899" max="5899" width="9.28515625" style="2"/>
    <col min="5900" max="5900" width="11.5703125" style="2" bestFit="1" customWidth="1"/>
    <col min="5901" max="6147" width="9.28515625" style="2"/>
    <col min="6148" max="6148" width="2.28515625" style="2" customWidth="1"/>
    <col min="6149" max="6149" width="22.7109375" style="2" customWidth="1"/>
    <col min="6150" max="6150" width="84.5703125" style="2" customWidth="1"/>
    <col min="6151" max="6151" width="34.7109375" style="2" customWidth="1"/>
    <col min="6152" max="6152" width="44.7109375" style="2" customWidth="1"/>
    <col min="6153" max="6153" width="30.28515625" style="2" customWidth="1"/>
    <col min="6154" max="6154" width="52.42578125" style="2" customWidth="1"/>
    <col min="6155" max="6155" width="9.28515625" style="2"/>
    <col min="6156" max="6156" width="11.5703125" style="2" bestFit="1" customWidth="1"/>
    <col min="6157" max="6403" width="9.28515625" style="2"/>
    <col min="6404" max="6404" width="2.28515625" style="2" customWidth="1"/>
    <col min="6405" max="6405" width="22.7109375" style="2" customWidth="1"/>
    <col min="6406" max="6406" width="84.5703125" style="2" customWidth="1"/>
    <col min="6407" max="6407" width="34.7109375" style="2" customWidth="1"/>
    <col min="6408" max="6408" width="44.7109375" style="2" customWidth="1"/>
    <col min="6409" max="6409" width="30.28515625" style="2" customWidth="1"/>
    <col min="6410" max="6410" width="52.42578125" style="2" customWidth="1"/>
    <col min="6411" max="6411" width="9.28515625" style="2"/>
    <col min="6412" max="6412" width="11.5703125" style="2" bestFit="1" customWidth="1"/>
    <col min="6413" max="6659" width="9.28515625" style="2"/>
    <col min="6660" max="6660" width="2.28515625" style="2" customWidth="1"/>
    <col min="6661" max="6661" width="22.7109375" style="2" customWidth="1"/>
    <col min="6662" max="6662" width="84.5703125" style="2" customWidth="1"/>
    <col min="6663" max="6663" width="34.7109375" style="2" customWidth="1"/>
    <col min="6664" max="6664" width="44.7109375" style="2" customWidth="1"/>
    <col min="6665" max="6665" width="30.28515625" style="2" customWidth="1"/>
    <col min="6666" max="6666" width="52.42578125" style="2" customWidth="1"/>
    <col min="6667" max="6667" width="9.28515625" style="2"/>
    <col min="6668" max="6668" width="11.5703125" style="2" bestFit="1" customWidth="1"/>
    <col min="6669" max="6915" width="9.28515625" style="2"/>
    <col min="6916" max="6916" width="2.28515625" style="2" customWidth="1"/>
    <col min="6917" max="6917" width="22.7109375" style="2" customWidth="1"/>
    <col min="6918" max="6918" width="84.5703125" style="2" customWidth="1"/>
    <col min="6919" max="6919" width="34.7109375" style="2" customWidth="1"/>
    <col min="6920" max="6920" width="44.7109375" style="2" customWidth="1"/>
    <col min="6921" max="6921" width="30.28515625" style="2" customWidth="1"/>
    <col min="6922" max="6922" width="52.42578125" style="2" customWidth="1"/>
    <col min="6923" max="6923" width="9.28515625" style="2"/>
    <col min="6924" max="6924" width="11.5703125" style="2" bestFit="1" customWidth="1"/>
    <col min="6925" max="7171" width="9.28515625" style="2"/>
    <col min="7172" max="7172" width="2.28515625" style="2" customWidth="1"/>
    <col min="7173" max="7173" width="22.7109375" style="2" customWidth="1"/>
    <col min="7174" max="7174" width="84.5703125" style="2" customWidth="1"/>
    <col min="7175" max="7175" width="34.7109375" style="2" customWidth="1"/>
    <col min="7176" max="7176" width="44.7109375" style="2" customWidth="1"/>
    <col min="7177" max="7177" width="30.28515625" style="2" customWidth="1"/>
    <col min="7178" max="7178" width="52.42578125" style="2" customWidth="1"/>
    <col min="7179" max="7179" width="9.28515625" style="2"/>
    <col min="7180" max="7180" width="11.5703125" style="2" bestFit="1" customWidth="1"/>
    <col min="7181" max="7427" width="9.28515625" style="2"/>
    <col min="7428" max="7428" width="2.28515625" style="2" customWidth="1"/>
    <col min="7429" max="7429" width="22.7109375" style="2" customWidth="1"/>
    <col min="7430" max="7430" width="84.5703125" style="2" customWidth="1"/>
    <col min="7431" max="7431" width="34.7109375" style="2" customWidth="1"/>
    <col min="7432" max="7432" width="44.7109375" style="2" customWidth="1"/>
    <col min="7433" max="7433" width="30.28515625" style="2" customWidth="1"/>
    <col min="7434" max="7434" width="52.42578125" style="2" customWidth="1"/>
    <col min="7435" max="7435" width="9.28515625" style="2"/>
    <col min="7436" max="7436" width="11.5703125" style="2" bestFit="1" customWidth="1"/>
    <col min="7437" max="7683" width="9.28515625" style="2"/>
    <col min="7684" max="7684" width="2.28515625" style="2" customWidth="1"/>
    <col min="7685" max="7685" width="22.7109375" style="2" customWidth="1"/>
    <col min="7686" max="7686" width="84.5703125" style="2" customWidth="1"/>
    <col min="7687" max="7687" width="34.7109375" style="2" customWidth="1"/>
    <col min="7688" max="7688" width="44.7109375" style="2" customWidth="1"/>
    <col min="7689" max="7689" width="30.28515625" style="2" customWidth="1"/>
    <col min="7690" max="7690" width="52.42578125" style="2" customWidth="1"/>
    <col min="7691" max="7691" width="9.28515625" style="2"/>
    <col min="7692" max="7692" width="11.5703125" style="2" bestFit="1" customWidth="1"/>
    <col min="7693" max="7939" width="9.28515625" style="2"/>
    <col min="7940" max="7940" width="2.28515625" style="2" customWidth="1"/>
    <col min="7941" max="7941" width="22.7109375" style="2" customWidth="1"/>
    <col min="7942" max="7942" width="84.5703125" style="2" customWidth="1"/>
    <col min="7943" max="7943" width="34.7109375" style="2" customWidth="1"/>
    <col min="7944" max="7944" width="44.7109375" style="2" customWidth="1"/>
    <col min="7945" max="7945" width="30.28515625" style="2" customWidth="1"/>
    <col min="7946" max="7946" width="52.42578125" style="2" customWidth="1"/>
    <col min="7947" max="7947" width="9.28515625" style="2"/>
    <col min="7948" max="7948" width="11.5703125" style="2" bestFit="1" customWidth="1"/>
    <col min="7949" max="8195" width="9.28515625" style="2"/>
    <col min="8196" max="8196" width="2.28515625" style="2" customWidth="1"/>
    <col min="8197" max="8197" width="22.7109375" style="2" customWidth="1"/>
    <col min="8198" max="8198" width="84.5703125" style="2" customWidth="1"/>
    <col min="8199" max="8199" width="34.7109375" style="2" customWidth="1"/>
    <col min="8200" max="8200" width="44.7109375" style="2" customWidth="1"/>
    <col min="8201" max="8201" width="30.28515625" style="2" customWidth="1"/>
    <col min="8202" max="8202" width="52.42578125" style="2" customWidth="1"/>
    <col min="8203" max="8203" width="9.28515625" style="2"/>
    <col min="8204" max="8204" width="11.5703125" style="2" bestFit="1" customWidth="1"/>
    <col min="8205" max="8451" width="9.28515625" style="2"/>
    <col min="8452" max="8452" width="2.28515625" style="2" customWidth="1"/>
    <col min="8453" max="8453" width="22.7109375" style="2" customWidth="1"/>
    <col min="8454" max="8454" width="84.5703125" style="2" customWidth="1"/>
    <col min="8455" max="8455" width="34.7109375" style="2" customWidth="1"/>
    <col min="8456" max="8456" width="44.7109375" style="2" customWidth="1"/>
    <col min="8457" max="8457" width="30.28515625" style="2" customWidth="1"/>
    <col min="8458" max="8458" width="52.42578125" style="2" customWidth="1"/>
    <col min="8459" max="8459" width="9.28515625" style="2"/>
    <col min="8460" max="8460" width="11.5703125" style="2" bestFit="1" customWidth="1"/>
    <col min="8461" max="8707" width="9.28515625" style="2"/>
    <col min="8708" max="8708" width="2.28515625" style="2" customWidth="1"/>
    <col min="8709" max="8709" width="22.7109375" style="2" customWidth="1"/>
    <col min="8710" max="8710" width="84.5703125" style="2" customWidth="1"/>
    <col min="8711" max="8711" width="34.7109375" style="2" customWidth="1"/>
    <col min="8712" max="8712" width="44.7109375" style="2" customWidth="1"/>
    <col min="8713" max="8713" width="30.28515625" style="2" customWidth="1"/>
    <col min="8714" max="8714" width="52.42578125" style="2" customWidth="1"/>
    <col min="8715" max="8715" width="9.28515625" style="2"/>
    <col min="8716" max="8716" width="11.5703125" style="2" bestFit="1" customWidth="1"/>
    <col min="8717" max="8963" width="9.28515625" style="2"/>
    <col min="8964" max="8964" width="2.28515625" style="2" customWidth="1"/>
    <col min="8965" max="8965" width="22.7109375" style="2" customWidth="1"/>
    <col min="8966" max="8966" width="84.5703125" style="2" customWidth="1"/>
    <col min="8967" max="8967" width="34.7109375" style="2" customWidth="1"/>
    <col min="8968" max="8968" width="44.7109375" style="2" customWidth="1"/>
    <col min="8969" max="8969" width="30.28515625" style="2" customWidth="1"/>
    <col min="8970" max="8970" width="52.42578125" style="2" customWidth="1"/>
    <col min="8971" max="8971" width="9.28515625" style="2"/>
    <col min="8972" max="8972" width="11.5703125" style="2" bestFit="1" customWidth="1"/>
    <col min="8973" max="9219" width="9.28515625" style="2"/>
    <col min="9220" max="9220" width="2.28515625" style="2" customWidth="1"/>
    <col min="9221" max="9221" width="22.7109375" style="2" customWidth="1"/>
    <col min="9222" max="9222" width="84.5703125" style="2" customWidth="1"/>
    <col min="9223" max="9223" width="34.7109375" style="2" customWidth="1"/>
    <col min="9224" max="9224" width="44.7109375" style="2" customWidth="1"/>
    <col min="9225" max="9225" width="30.28515625" style="2" customWidth="1"/>
    <col min="9226" max="9226" width="52.42578125" style="2" customWidth="1"/>
    <col min="9227" max="9227" width="9.28515625" style="2"/>
    <col min="9228" max="9228" width="11.5703125" style="2" bestFit="1" customWidth="1"/>
    <col min="9229" max="9475" width="9.28515625" style="2"/>
    <col min="9476" max="9476" width="2.28515625" style="2" customWidth="1"/>
    <col min="9477" max="9477" width="22.7109375" style="2" customWidth="1"/>
    <col min="9478" max="9478" width="84.5703125" style="2" customWidth="1"/>
    <col min="9479" max="9479" width="34.7109375" style="2" customWidth="1"/>
    <col min="9480" max="9480" width="44.7109375" style="2" customWidth="1"/>
    <col min="9481" max="9481" width="30.28515625" style="2" customWidth="1"/>
    <col min="9482" max="9482" width="52.42578125" style="2" customWidth="1"/>
    <col min="9483" max="9483" width="9.28515625" style="2"/>
    <col min="9484" max="9484" width="11.5703125" style="2" bestFit="1" customWidth="1"/>
    <col min="9485" max="9731" width="9.28515625" style="2"/>
    <col min="9732" max="9732" width="2.28515625" style="2" customWidth="1"/>
    <col min="9733" max="9733" width="22.7109375" style="2" customWidth="1"/>
    <col min="9734" max="9734" width="84.5703125" style="2" customWidth="1"/>
    <col min="9735" max="9735" width="34.7109375" style="2" customWidth="1"/>
    <col min="9736" max="9736" width="44.7109375" style="2" customWidth="1"/>
    <col min="9737" max="9737" width="30.28515625" style="2" customWidth="1"/>
    <col min="9738" max="9738" width="52.42578125" style="2" customWidth="1"/>
    <col min="9739" max="9739" width="9.28515625" style="2"/>
    <col min="9740" max="9740" width="11.5703125" style="2" bestFit="1" customWidth="1"/>
    <col min="9741" max="9987" width="9.28515625" style="2"/>
    <col min="9988" max="9988" width="2.28515625" style="2" customWidth="1"/>
    <col min="9989" max="9989" width="22.7109375" style="2" customWidth="1"/>
    <col min="9990" max="9990" width="84.5703125" style="2" customWidth="1"/>
    <col min="9991" max="9991" width="34.7109375" style="2" customWidth="1"/>
    <col min="9992" max="9992" width="44.7109375" style="2" customWidth="1"/>
    <col min="9993" max="9993" width="30.28515625" style="2" customWidth="1"/>
    <col min="9994" max="9994" width="52.42578125" style="2" customWidth="1"/>
    <col min="9995" max="9995" width="9.28515625" style="2"/>
    <col min="9996" max="9996" width="11.5703125" style="2" bestFit="1" customWidth="1"/>
    <col min="9997" max="10243" width="9.28515625" style="2"/>
    <col min="10244" max="10244" width="2.28515625" style="2" customWidth="1"/>
    <col min="10245" max="10245" width="22.7109375" style="2" customWidth="1"/>
    <col min="10246" max="10246" width="84.5703125" style="2" customWidth="1"/>
    <col min="10247" max="10247" width="34.7109375" style="2" customWidth="1"/>
    <col min="10248" max="10248" width="44.7109375" style="2" customWidth="1"/>
    <col min="10249" max="10249" width="30.28515625" style="2" customWidth="1"/>
    <col min="10250" max="10250" width="52.42578125" style="2" customWidth="1"/>
    <col min="10251" max="10251" width="9.28515625" style="2"/>
    <col min="10252" max="10252" width="11.5703125" style="2" bestFit="1" customWidth="1"/>
    <col min="10253" max="10499" width="9.28515625" style="2"/>
    <col min="10500" max="10500" width="2.28515625" style="2" customWidth="1"/>
    <col min="10501" max="10501" width="22.7109375" style="2" customWidth="1"/>
    <col min="10502" max="10502" width="84.5703125" style="2" customWidth="1"/>
    <col min="10503" max="10503" width="34.7109375" style="2" customWidth="1"/>
    <col min="10504" max="10504" width="44.7109375" style="2" customWidth="1"/>
    <col min="10505" max="10505" width="30.28515625" style="2" customWidth="1"/>
    <col min="10506" max="10506" width="52.42578125" style="2" customWidth="1"/>
    <col min="10507" max="10507" width="9.28515625" style="2"/>
    <col min="10508" max="10508" width="11.5703125" style="2" bestFit="1" customWidth="1"/>
    <col min="10509" max="10755" width="9.28515625" style="2"/>
    <col min="10756" max="10756" width="2.28515625" style="2" customWidth="1"/>
    <col min="10757" max="10757" width="22.7109375" style="2" customWidth="1"/>
    <col min="10758" max="10758" width="84.5703125" style="2" customWidth="1"/>
    <col min="10759" max="10759" width="34.7109375" style="2" customWidth="1"/>
    <col min="10760" max="10760" width="44.7109375" style="2" customWidth="1"/>
    <col min="10761" max="10761" width="30.28515625" style="2" customWidth="1"/>
    <col min="10762" max="10762" width="52.42578125" style="2" customWidth="1"/>
    <col min="10763" max="10763" width="9.28515625" style="2"/>
    <col min="10764" max="10764" width="11.5703125" style="2" bestFit="1" customWidth="1"/>
    <col min="10765" max="11011" width="9.28515625" style="2"/>
    <col min="11012" max="11012" width="2.28515625" style="2" customWidth="1"/>
    <col min="11013" max="11013" width="22.7109375" style="2" customWidth="1"/>
    <col min="11014" max="11014" width="84.5703125" style="2" customWidth="1"/>
    <col min="11015" max="11015" width="34.7109375" style="2" customWidth="1"/>
    <col min="11016" max="11016" width="44.7109375" style="2" customWidth="1"/>
    <col min="11017" max="11017" width="30.28515625" style="2" customWidth="1"/>
    <col min="11018" max="11018" width="52.42578125" style="2" customWidth="1"/>
    <col min="11019" max="11019" width="9.28515625" style="2"/>
    <col min="11020" max="11020" width="11.5703125" style="2" bestFit="1" customWidth="1"/>
    <col min="11021" max="11267" width="9.28515625" style="2"/>
    <col min="11268" max="11268" width="2.28515625" style="2" customWidth="1"/>
    <col min="11269" max="11269" width="22.7109375" style="2" customWidth="1"/>
    <col min="11270" max="11270" width="84.5703125" style="2" customWidth="1"/>
    <col min="11271" max="11271" width="34.7109375" style="2" customWidth="1"/>
    <col min="11272" max="11272" width="44.7109375" style="2" customWidth="1"/>
    <col min="11273" max="11273" width="30.28515625" style="2" customWidth="1"/>
    <col min="11274" max="11274" width="52.42578125" style="2" customWidth="1"/>
    <col min="11275" max="11275" width="9.28515625" style="2"/>
    <col min="11276" max="11276" width="11.5703125" style="2" bestFit="1" customWidth="1"/>
    <col min="11277" max="11523" width="9.28515625" style="2"/>
    <col min="11524" max="11524" width="2.28515625" style="2" customWidth="1"/>
    <col min="11525" max="11525" width="22.7109375" style="2" customWidth="1"/>
    <col min="11526" max="11526" width="84.5703125" style="2" customWidth="1"/>
    <col min="11527" max="11527" width="34.7109375" style="2" customWidth="1"/>
    <col min="11528" max="11528" width="44.7109375" style="2" customWidth="1"/>
    <col min="11529" max="11529" width="30.28515625" style="2" customWidth="1"/>
    <col min="11530" max="11530" width="52.42578125" style="2" customWidth="1"/>
    <col min="11531" max="11531" width="9.28515625" style="2"/>
    <col min="11532" max="11532" width="11.5703125" style="2" bestFit="1" customWidth="1"/>
    <col min="11533" max="11779" width="9.28515625" style="2"/>
    <col min="11780" max="11780" width="2.28515625" style="2" customWidth="1"/>
    <col min="11781" max="11781" width="22.7109375" style="2" customWidth="1"/>
    <col min="11782" max="11782" width="84.5703125" style="2" customWidth="1"/>
    <col min="11783" max="11783" width="34.7109375" style="2" customWidth="1"/>
    <col min="11784" max="11784" width="44.7109375" style="2" customWidth="1"/>
    <col min="11785" max="11785" width="30.28515625" style="2" customWidth="1"/>
    <col min="11786" max="11786" width="52.42578125" style="2" customWidth="1"/>
    <col min="11787" max="11787" width="9.28515625" style="2"/>
    <col min="11788" max="11788" width="11.5703125" style="2" bestFit="1" customWidth="1"/>
    <col min="11789" max="12035" width="9.28515625" style="2"/>
    <col min="12036" max="12036" width="2.28515625" style="2" customWidth="1"/>
    <col min="12037" max="12037" width="22.7109375" style="2" customWidth="1"/>
    <col min="12038" max="12038" width="84.5703125" style="2" customWidth="1"/>
    <col min="12039" max="12039" width="34.7109375" style="2" customWidth="1"/>
    <col min="12040" max="12040" width="44.7109375" style="2" customWidth="1"/>
    <col min="12041" max="12041" width="30.28515625" style="2" customWidth="1"/>
    <col min="12042" max="12042" width="52.42578125" style="2" customWidth="1"/>
    <col min="12043" max="12043" width="9.28515625" style="2"/>
    <col min="12044" max="12044" width="11.5703125" style="2" bestFit="1" customWidth="1"/>
    <col min="12045" max="12291" width="9.28515625" style="2"/>
    <col min="12292" max="12292" width="2.28515625" style="2" customWidth="1"/>
    <col min="12293" max="12293" width="22.7109375" style="2" customWidth="1"/>
    <col min="12294" max="12294" width="84.5703125" style="2" customWidth="1"/>
    <col min="12295" max="12295" width="34.7109375" style="2" customWidth="1"/>
    <col min="12296" max="12296" width="44.7109375" style="2" customWidth="1"/>
    <col min="12297" max="12297" width="30.28515625" style="2" customWidth="1"/>
    <col min="12298" max="12298" width="52.42578125" style="2" customWidth="1"/>
    <col min="12299" max="12299" width="9.28515625" style="2"/>
    <col min="12300" max="12300" width="11.5703125" style="2" bestFit="1" customWidth="1"/>
    <col min="12301" max="12547" width="9.28515625" style="2"/>
    <col min="12548" max="12548" width="2.28515625" style="2" customWidth="1"/>
    <col min="12549" max="12549" width="22.7109375" style="2" customWidth="1"/>
    <col min="12550" max="12550" width="84.5703125" style="2" customWidth="1"/>
    <col min="12551" max="12551" width="34.7109375" style="2" customWidth="1"/>
    <col min="12552" max="12552" width="44.7109375" style="2" customWidth="1"/>
    <col min="12553" max="12553" width="30.28515625" style="2" customWidth="1"/>
    <col min="12554" max="12554" width="52.42578125" style="2" customWidth="1"/>
    <col min="12555" max="12555" width="9.28515625" style="2"/>
    <col min="12556" max="12556" width="11.5703125" style="2" bestFit="1" customWidth="1"/>
    <col min="12557" max="12803" width="9.28515625" style="2"/>
    <col min="12804" max="12804" width="2.28515625" style="2" customWidth="1"/>
    <col min="12805" max="12805" width="22.7109375" style="2" customWidth="1"/>
    <col min="12806" max="12806" width="84.5703125" style="2" customWidth="1"/>
    <col min="12807" max="12807" width="34.7109375" style="2" customWidth="1"/>
    <col min="12808" max="12808" width="44.7109375" style="2" customWidth="1"/>
    <col min="12809" max="12809" width="30.28515625" style="2" customWidth="1"/>
    <col min="12810" max="12810" width="52.42578125" style="2" customWidth="1"/>
    <col min="12811" max="12811" width="9.28515625" style="2"/>
    <col min="12812" max="12812" width="11.5703125" style="2" bestFit="1" customWidth="1"/>
    <col min="12813" max="13059" width="9.28515625" style="2"/>
    <col min="13060" max="13060" width="2.28515625" style="2" customWidth="1"/>
    <col min="13061" max="13061" width="22.7109375" style="2" customWidth="1"/>
    <col min="13062" max="13062" width="84.5703125" style="2" customWidth="1"/>
    <col min="13063" max="13063" width="34.7109375" style="2" customWidth="1"/>
    <col min="13064" max="13064" width="44.7109375" style="2" customWidth="1"/>
    <col min="13065" max="13065" width="30.28515625" style="2" customWidth="1"/>
    <col min="13066" max="13066" width="52.42578125" style="2" customWidth="1"/>
    <col min="13067" max="13067" width="9.28515625" style="2"/>
    <col min="13068" max="13068" width="11.5703125" style="2" bestFit="1" customWidth="1"/>
    <col min="13069" max="13315" width="9.28515625" style="2"/>
    <col min="13316" max="13316" width="2.28515625" style="2" customWidth="1"/>
    <col min="13317" max="13317" width="22.7109375" style="2" customWidth="1"/>
    <col min="13318" max="13318" width="84.5703125" style="2" customWidth="1"/>
    <col min="13319" max="13319" width="34.7109375" style="2" customWidth="1"/>
    <col min="13320" max="13320" width="44.7109375" style="2" customWidth="1"/>
    <col min="13321" max="13321" width="30.28515625" style="2" customWidth="1"/>
    <col min="13322" max="13322" width="52.42578125" style="2" customWidth="1"/>
    <col min="13323" max="13323" width="9.28515625" style="2"/>
    <col min="13324" max="13324" width="11.5703125" style="2" bestFit="1" customWidth="1"/>
    <col min="13325" max="13571" width="9.28515625" style="2"/>
    <col min="13572" max="13572" width="2.28515625" style="2" customWidth="1"/>
    <col min="13573" max="13573" width="22.7109375" style="2" customWidth="1"/>
    <col min="13574" max="13574" width="84.5703125" style="2" customWidth="1"/>
    <col min="13575" max="13575" width="34.7109375" style="2" customWidth="1"/>
    <col min="13576" max="13576" width="44.7109375" style="2" customWidth="1"/>
    <col min="13577" max="13577" width="30.28515625" style="2" customWidth="1"/>
    <col min="13578" max="13578" width="52.42578125" style="2" customWidth="1"/>
    <col min="13579" max="13579" width="9.28515625" style="2"/>
    <col min="13580" max="13580" width="11.5703125" style="2" bestFit="1" customWidth="1"/>
    <col min="13581" max="13827" width="9.28515625" style="2"/>
    <col min="13828" max="13828" width="2.28515625" style="2" customWidth="1"/>
    <col min="13829" max="13829" width="22.7109375" style="2" customWidth="1"/>
    <col min="13830" max="13830" width="84.5703125" style="2" customWidth="1"/>
    <col min="13831" max="13831" width="34.7109375" style="2" customWidth="1"/>
    <col min="13832" max="13832" width="44.7109375" style="2" customWidth="1"/>
    <col min="13833" max="13833" width="30.28515625" style="2" customWidth="1"/>
    <col min="13834" max="13834" width="52.42578125" style="2" customWidth="1"/>
    <col min="13835" max="13835" width="9.28515625" style="2"/>
    <col min="13836" max="13836" width="11.5703125" style="2" bestFit="1" customWidth="1"/>
    <col min="13837" max="14083" width="9.28515625" style="2"/>
    <col min="14084" max="14084" width="2.28515625" style="2" customWidth="1"/>
    <col min="14085" max="14085" width="22.7109375" style="2" customWidth="1"/>
    <col min="14086" max="14086" width="84.5703125" style="2" customWidth="1"/>
    <col min="14087" max="14087" width="34.7109375" style="2" customWidth="1"/>
    <col min="14088" max="14088" width="44.7109375" style="2" customWidth="1"/>
    <col min="14089" max="14089" width="30.28515625" style="2" customWidth="1"/>
    <col min="14090" max="14090" width="52.42578125" style="2" customWidth="1"/>
    <col min="14091" max="14091" width="9.28515625" style="2"/>
    <col min="14092" max="14092" width="11.5703125" style="2" bestFit="1" customWidth="1"/>
    <col min="14093" max="14339" width="9.28515625" style="2"/>
    <col min="14340" max="14340" width="2.28515625" style="2" customWidth="1"/>
    <col min="14341" max="14341" width="22.7109375" style="2" customWidth="1"/>
    <col min="14342" max="14342" width="84.5703125" style="2" customWidth="1"/>
    <col min="14343" max="14343" width="34.7109375" style="2" customWidth="1"/>
    <col min="14344" max="14344" width="44.7109375" style="2" customWidth="1"/>
    <col min="14345" max="14345" width="30.28515625" style="2" customWidth="1"/>
    <col min="14346" max="14346" width="52.42578125" style="2" customWidth="1"/>
    <col min="14347" max="14347" width="9.28515625" style="2"/>
    <col min="14348" max="14348" width="11.5703125" style="2" bestFit="1" customWidth="1"/>
    <col min="14349" max="14595" width="9.28515625" style="2"/>
    <col min="14596" max="14596" width="2.28515625" style="2" customWidth="1"/>
    <col min="14597" max="14597" width="22.7109375" style="2" customWidth="1"/>
    <col min="14598" max="14598" width="84.5703125" style="2" customWidth="1"/>
    <col min="14599" max="14599" width="34.7109375" style="2" customWidth="1"/>
    <col min="14600" max="14600" width="44.7109375" style="2" customWidth="1"/>
    <col min="14601" max="14601" width="30.28515625" style="2" customWidth="1"/>
    <col min="14602" max="14602" width="52.42578125" style="2" customWidth="1"/>
    <col min="14603" max="14603" width="9.28515625" style="2"/>
    <col min="14604" max="14604" width="11.5703125" style="2" bestFit="1" customWidth="1"/>
    <col min="14605" max="14851" width="9.28515625" style="2"/>
    <col min="14852" max="14852" width="2.28515625" style="2" customWidth="1"/>
    <col min="14853" max="14853" width="22.7109375" style="2" customWidth="1"/>
    <col min="14854" max="14854" width="84.5703125" style="2" customWidth="1"/>
    <col min="14855" max="14855" width="34.7109375" style="2" customWidth="1"/>
    <col min="14856" max="14856" width="44.7109375" style="2" customWidth="1"/>
    <col min="14857" max="14857" width="30.28515625" style="2" customWidth="1"/>
    <col min="14858" max="14858" width="52.42578125" style="2" customWidth="1"/>
    <col min="14859" max="14859" width="9.28515625" style="2"/>
    <col min="14860" max="14860" width="11.5703125" style="2" bestFit="1" customWidth="1"/>
    <col min="14861" max="15107" width="9.28515625" style="2"/>
    <col min="15108" max="15108" width="2.28515625" style="2" customWidth="1"/>
    <col min="15109" max="15109" width="22.7109375" style="2" customWidth="1"/>
    <col min="15110" max="15110" width="84.5703125" style="2" customWidth="1"/>
    <col min="15111" max="15111" width="34.7109375" style="2" customWidth="1"/>
    <col min="15112" max="15112" width="44.7109375" style="2" customWidth="1"/>
    <col min="15113" max="15113" width="30.28515625" style="2" customWidth="1"/>
    <col min="15114" max="15114" width="52.42578125" style="2" customWidth="1"/>
    <col min="15115" max="15115" width="9.28515625" style="2"/>
    <col min="15116" max="15116" width="11.5703125" style="2" bestFit="1" customWidth="1"/>
    <col min="15117" max="15363" width="9.28515625" style="2"/>
    <col min="15364" max="15364" width="2.28515625" style="2" customWidth="1"/>
    <col min="15365" max="15365" width="22.7109375" style="2" customWidth="1"/>
    <col min="15366" max="15366" width="84.5703125" style="2" customWidth="1"/>
    <col min="15367" max="15367" width="34.7109375" style="2" customWidth="1"/>
    <col min="15368" max="15368" width="44.7109375" style="2" customWidth="1"/>
    <col min="15369" max="15369" width="30.28515625" style="2" customWidth="1"/>
    <col min="15370" max="15370" width="52.42578125" style="2" customWidth="1"/>
    <col min="15371" max="15371" width="9.28515625" style="2"/>
    <col min="15372" max="15372" width="11.5703125" style="2" bestFit="1" customWidth="1"/>
    <col min="15373" max="15619" width="9.28515625" style="2"/>
    <col min="15620" max="15620" width="2.28515625" style="2" customWidth="1"/>
    <col min="15621" max="15621" width="22.7109375" style="2" customWidth="1"/>
    <col min="15622" max="15622" width="84.5703125" style="2" customWidth="1"/>
    <col min="15623" max="15623" width="34.7109375" style="2" customWidth="1"/>
    <col min="15624" max="15624" width="44.7109375" style="2" customWidth="1"/>
    <col min="15625" max="15625" width="30.28515625" style="2" customWidth="1"/>
    <col min="15626" max="15626" width="52.42578125" style="2" customWidth="1"/>
    <col min="15627" max="15627" width="9.28515625" style="2"/>
    <col min="15628" max="15628" width="11.5703125" style="2" bestFit="1" customWidth="1"/>
    <col min="15629" max="15875" width="9.28515625" style="2"/>
    <col min="15876" max="15876" width="2.28515625" style="2" customWidth="1"/>
    <col min="15877" max="15877" width="22.7109375" style="2" customWidth="1"/>
    <col min="15878" max="15878" width="84.5703125" style="2" customWidth="1"/>
    <col min="15879" max="15879" width="34.7109375" style="2" customWidth="1"/>
    <col min="15880" max="15880" width="44.7109375" style="2" customWidth="1"/>
    <col min="15881" max="15881" width="30.28515625" style="2" customWidth="1"/>
    <col min="15882" max="15882" width="52.42578125" style="2" customWidth="1"/>
    <col min="15883" max="15883" width="9.28515625" style="2"/>
    <col min="15884" max="15884" width="11.5703125" style="2" bestFit="1" customWidth="1"/>
    <col min="15885" max="16131" width="9.28515625" style="2"/>
    <col min="16132" max="16132" width="2.28515625" style="2" customWidth="1"/>
    <col min="16133" max="16133" width="22.7109375" style="2" customWidth="1"/>
    <col min="16134" max="16134" width="84.5703125" style="2" customWidth="1"/>
    <col min="16135" max="16135" width="34.7109375" style="2" customWidth="1"/>
    <col min="16136" max="16136" width="44.7109375" style="2" customWidth="1"/>
    <col min="16137" max="16137" width="30.28515625" style="2" customWidth="1"/>
    <col min="16138" max="16138" width="52.42578125" style="2" customWidth="1"/>
    <col min="16139" max="16139" width="9.28515625" style="2"/>
    <col min="16140" max="16140" width="11.5703125" style="2" bestFit="1" customWidth="1"/>
    <col min="16141" max="16384" width="9.28515625" style="2"/>
  </cols>
  <sheetData>
    <row r="1" spans="2:11" s="3" customFormat="1" ht="33" customHeight="1" x14ac:dyDescent="0.2">
      <c r="B1" s="3" t="s">
        <v>2031</v>
      </c>
      <c r="C1" s="53" t="s">
        <v>651</v>
      </c>
      <c r="D1" s="53" t="s">
        <v>8</v>
      </c>
      <c r="E1" s="53" t="s">
        <v>652</v>
      </c>
      <c r="F1" s="53" t="s">
        <v>653</v>
      </c>
      <c r="G1" s="53" t="s">
        <v>1439</v>
      </c>
      <c r="H1" s="142" t="s">
        <v>654</v>
      </c>
      <c r="I1" s="142" t="s">
        <v>655</v>
      </c>
      <c r="J1" s="53" t="s">
        <v>9</v>
      </c>
      <c r="K1" s="53" t="s">
        <v>1936</v>
      </c>
    </row>
    <row r="2" spans="2:11" ht="73.900000000000006" customHeight="1" x14ac:dyDescent="0.2">
      <c r="B2" s="4" t="s">
        <v>656</v>
      </c>
      <c r="C2" s="4" t="s">
        <v>656</v>
      </c>
      <c r="D2" s="4" t="s">
        <v>1440</v>
      </c>
      <c r="E2" s="130" t="s">
        <v>1912</v>
      </c>
      <c r="F2" s="6" t="s">
        <v>1441</v>
      </c>
      <c r="G2" s="8" t="s">
        <v>657</v>
      </c>
      <c r="H2" s="6" t="s">
        <v>1442</v>
      </c>
      <c r="I2" s="7" t="s">
        <v>1443</v>
      </c>
      <c r="J2" s="111" t="s">
        <v>1444</v>
      </c>
      <c r="K2" s="111" t="s">
        <v>1445</v>
      </c>
    </row>
    <row r="3" spans="2:11" ht="73.900000000000006" customHeight="1" x14ac:dyDescent="0.2">
      <c r="B3" s="4" t="s">
        <v>658</v>
      </c>
      <c r="C3" s="4" t="s">
        <v>658</v>
      </c>
      <c r="D3" s="4" t="s">
        <v>1446</v>
      </c>
      <c r="E3" s="131" t="s">
        <v>1913</v>
      </c>
      <c r="F3" s="10" t="s">
        <v>1914</v>
      </c>
      <c r="G3" s="8" t="s">
        <v>659</v>
      </c>
      <c r="H3" s="8" t="s">
        <v>1447</v>
      </c>
      <c r="I3" s="7"/>
      <c r="J3" s="10" t="s">
        <v>1448</v>
      </c>
      <c r="K3" s="10" t="s">
        <v>1449</v>
      </c>
    </row>
    <row r="4" spans="2:11" ht="73.900000000000006" customHeight="1" x14ac:dyDescent="0.2">
      <c r="B4" s="4" t="s">
        <v>660</v>
      </c>
      <c r="C4" s="4" t="s">
        <v>660</v>
      </c>
      <c r="D4" s="4" t="s">
        <v>1450</v>
      </c>
      <c r="E4" s="5"/>
      <c r="F4" s="6"/>
      <c r="G4" s="8" t="s">
        <v>661</v>
      </c>
      <c r="H4" s="8" t="s">
        <v>1451</v>
      </c>
      <c r="I4" s="7"/>
      <c r="J4" s="10" t="s">
        <v>1452</v>
      </c>
      <c r="K4" s="10" t="s">
        <v>1453</v>
      </c>
    </row>
    <row r="5" spans="2:11" s="113" customFormat="1" ht="73.900000000000006" customHeight="1" x14ac:dyDescent="0.2">
      <c r="B5" s="114" t="s">
        <v>662</v>
      </c>
      <c r="C5" s="114" t="s">
        <v>662</v>
      </c>
      <c r="D5" s="114" t="s">
        <v>1454</v>
      </c>
      <c r="E5" s="115"/>
      <c r="F5" s="116"/>
      <c r="G5" s="117" t="s">
        <v>663</v>
      </c>
      <c r="H5" s="117" t="s">
        <v>1455</v>
      </c>
      <c r="I5" s="118" t="s">
        <v>664</v>
      </c>
      <c r="J5" s="119" t="s">
        <v>1456</v>
      </c>
      <c r="K5" s="119" t="s">
        <v>1457</v>
      </c>
    </row>
    <row r="6" spans="2:11" s="113" customFormat="1" ht="73.900000000000006" customHeight="1" x14ac:dyDescent="0.2">
      <c r="B6" s="2" t="str">
        <f t="shared" ref="B2:B6" si="0">C6&amp;" - Inversor Particular"</f>
        <v>Adeyemi Ajao - Inversor Particular</v>
      </c>
      <c r="C6" s="114" t="s">
        <v>665</v>
      </c>
      <c r="D6" s="114" t="s">
        <v>1458</v>
      </c>
      <c r="E6" s="115" t="s">
        <v>666</v>
      </c>
      <c r="F6" s="116"/>
      <c r="G6" s="116"/>
      <c r="H6" s="116" t="s">
        <v>1459</v>
      </c>
      <c r="I6" s="181" t="s">
        <v>667</v>
      </c>
      <c r="J6" s="120" t="s">
        <v>1460</v>
      </c>
      <c r="K6" s="120" t="s">
        <v>1461</v>
      </c>
    </row>
    <row r="7" spans="2:11" ht="73.900000000000006" customHeight="1" x14ac:dyDescent="0.2">
      <c r="B7" s="2" t="str">
        <f>C7&amp;" - Inversor Particular"</f>
        <v>Adriana Freitas - Inversor Particular</v>
      </c>
      <c r="C7" s="4" t="s">
        <v>668</v>
      </c>
      <c r="D7" s="4" t="s">
        <v>1462</v>
      </c>
      <c r="E7" s="5" t="s">
        <v>669</v>
      </c>
      <c r="F7" s="6"/>
      <c r="G7" s="6"/>
      <c r="H7" s="6" t="s">
        <v>1459</v>
      </c>
      <c r="I7" s="7" t="s">
        <v>670</v>
      </c>
      <c r="J7" s="7" t="s">
        <v>1463</v>
      </c>
      <c r="K7" s="7" t="s">
        <v>1464</v>
      </c>
    </row>
    <row r="8" spans="2:11" ht="73.900000000000006" customHeight="1" x14ac:dyDescent="0.2">
      <c r="B8" s="4" t="s">
        <v>671</v>
      </c>
      <c r="C8" s="4" t="s">
        <v>671</v>
      </c>
      <c r="D8" s="4" t="s">
        <v>1465</v>
      </c>
      <c r="E8" s="5"/>
      <c r="F8" s="6"/>
      <c r="G8" s="8" t="s">
        <v>672</v>
      </c>
      <c r="H8" s="6"/>
      <c r="I8" s="7" t="s">
        <v>673</v>
      </c>
      <c r="J8" s="7" t="s">
        <v>1463</v>
      </c>
      <c r="K8" s="7" t="s">
        <v>1466</v>
      </c>
    </row>
    <row r="9" spans="2:11" ht="73.900000000000006" customHeight="1" x14ac:dyDescent="0.2">
      <c r="B9" s="4" t="s">
        <v>674</v>
      </c>
      <c r="C9" s="4" t="s">
        <v>674</v>
      </c>
      <c r="D9" s="4" t="s">
        <v>1467</v>
      </c>
      <c r="E9" s="5" t="s">
        <v>675</v>
      </c>
      <c r="G9" s="6"/>
      <c r="H9" s="6"/>
      <c r="I9" s="7"/>
      <c r="J9" s="7" t="s">
        <v>1468</v>
      </c>
      <c r="K9" s="7" t="s">
        <v>1469</v>
      </c>
    </row>
    <row r="10" spans="2:11" s="113" customFormat="1" ht="73.900000000000006" customHeight="1" x14ac:dyDescent="0.2">
      <c r="B10" s="2" t="str">
        <f t="shared" ref="B8:B71" si="1">C10&amp;" - Inversor Particular"</f>
        <v>Albert Armengol - Inversor Particular</v>
      </c>
      <c r="C10" s="114" t="s">
        <v>676</v>
      </c>
      <c r="D10" s="114" t="s">
        <v>1470</v>
      </c>
      <c r="E10" s="115" t="s">
        <v>677</v>
      </c>
      <c r="F10" s="116" t="s">
        <v>678</v>
      </c>
      <c r="G10" s="116" t="s">
        <v>679</v>
      </c>
      <c r="H10" s="116" t="s">
        <v>1459</v>
      </c>
      <c r="I10" s="118" t="s">
        <v>680</v>
      </c>
      <c r="J10" s="118" t="s">
        <v>1471</v>
      </c>
      <c r="K10" s="118" t="s">
        <v>1472</v>
      </c>
    </row>
    <row r="11" spans="2:11" ht="73.900000000000006" customHeight="1" x14ac:dyDescent="0.2">
      <c r="B11" s="2" t="str">
        <f t="shared" si="1"/>
        <v>Albert Betella - Inversor Particular</v>
      </c>
      <c r="C11" s="4" t="s">
        <v>681</v>
      </c>
      <c r="D11" s="4"/>
      <c r="E11" s="5" t="s">
        <v>682</v>
      </c>
      <c r="F11" s="6" t="s">
        <v>683</v>
      </c>
      <c r="G11" s="6" t="s">
        <v>684</v>
      </c>
      <c r="H11" s="6"/>
      <c r="I11" s="7" t="s">
        <v>685</v>
      </c>
      <c r="J11" s="7"/>
      <c r="K11" s="7"/>
    </row>
    <row r="12" spans="2:11" ht="73.900000000000006" customHeight="1" x14ac:dyDescent="0.2">
      <c r="B12" s="2" t="str">
        <f t="shared" si="1"/>
        <v>Albert Colomer - Inversor Particular</v>
      </c>
      <c r="C12" s="4" t="s">
        <v>686</v>
      </c>
      <c r="D12" s="4" t="s">
        <v>1473</v>
      </c>
      <c r="E12" s="5" t="s">
        <v>687</v>
      </c>
      <c r="F12" s="6"/>
      <c r="G12" s="6"/>
      <c r="H12" s="6"/>
      <c r="I12" s="7" t="s">
        <v>688</v>
      </c>
      <c r="J12" s="7"/>
      <c r="K12" s="7" t="s">
        <v>1474</v>
      </c>
    </row>
    <row r="13" spans="2:11" ht="73.900000000000006" customHeight="1" x14ac:dyDescent="0.2">
      <c r="B13" s="2" t="str">
        <f t="shared" si="1"/>
        <v>Albert Feliu - Inversor Particular</v>
      </c>
      <c r="C13" s="4" t="s">
        <v>689</v>
      </c>
      <c r="D13" s="4" t="s">
        <v>1475</v>
      </c>
      <c r="E13" s="5" t="s">
        <v>690</v>
      </c>
      <c r="F13" s="6" t="s">
        <v>691</v>
      </c>
      <c r="G13" s="6"/>
      <c r="H13" s="6"/>
      <c r="I13" s="7" t="s">
        <v>692</v>
      </c>
      <c r="J13" s="7"/>
      <c r="K13" s="7"/>
    </row>
    <row r="14" spans="2:11" ht="73.900000000000006" customHeight="1" x14ac:dyDescent="0.2">
      <c r="B14" s="2" t="str">
        <f t="shared" si="1"/>
        <v>Albert Morcillo - Inversor Particular</v>
      </c>
      <c r="C14" s="4" t="s">
        <v>693</v>
      </c>
      <c r="D14" s="4" t="s">
        <v>1476</v>
      </c>
      <c r="E14" s="5" t="s">
        <v>694</v>
      </c>
      <c r="F14" s="6"/>
      <c r="G14" s="6"/>
      <c r="H14" s="6"/>
      <c r="I14" s="7" t="s">
        <v>695</v>
      </c>
      <c r="J14" s="7"/>
      <c r="K14" s="7" t="s">
        <v>1477</v>
      </c>
    </row>
    <row r="15" spans="2:11" s="113" customFormat="1" ht="73.900000000000006" customHeight="1" x14ac:dyDescent="0.2">
      <c r="B15" s="2" t="str">
        <f t="shared" si="1"/>
        <v>Albert Ribera - Inversor Particular</v>
      </c>
      <c r="C15" s="114" t="s">
        <v>696</v>
      </c>
      <c r="D15" s="114" t="s">
        <v>1478</v>
      </c>
      <c r="E15" s="115" t="s">
        <v>697</v>
      </c>
      <c r="F15" s="116"/>
      <c r="G15" s="116"/>
      <c r="H15" s="116"/>
      <c r="I15" s="118" t="s">
        <v>698</v>
      </c>
      <c r="J15" s="118" t="s">
        <v>1479</v>
      </c>
      <c r="K15" s="118" t="s">
        <v>1480</v>
      </c>
    </row>
    <row r="16" spans="2:11" s="113" customFormat="1" ht="73.900000000000006" customHeight="1" x14ac:dyDescent="0.2">
      <c r="B16" s="2" t="str">
        <f t="shared" si="1"/>
        <v>Alberto Benbunan - Inversor Particular</v>
      </c>
      <c r="C16" s="114" t="s">
        <v>699</v>
      </c>
      <c r="D16" s="114" t="s">
        <v>1481</v>
      </c>
      <c r="E16" s="115" t="s">
        <v>700</v>
      </c>
      <c r="F16" s="116" t="s">
        <v>701</v>
      </c>
      <c r="G16" s="116"/>
      <c r="H16" s="121" t="s">
        <v>1482</v>
      </c>
      <c r="I16" s="118" t="s">
        <v>702</v>
      </c>
      <c r="J16" s="118" t="s">
        <v>1483</v>
      </c>
      <c r="K16" s="118" t="s">
        <v>1484</v>
      </c>
    </row>
    <row r="17" spans="2:11" ht="73.900000000000006" customHeight="1" x14ac:dyDescent="0.2">
      <c r="B17" s="2" t="str">
        <f t="shared" si="1"/>
        <v>Alberto Knapp - Inversor Particular</v>
      </c>
      <c r="C17" s="4" t="s">
        <v>703</v>
      </c>
      <c r="D17" s="4" t="s">
        <v>1485</v>
      </c>
      <c r="E17" s="5" t="s">
        <v>704</v>
      </c>
      <c r="F17" s="6" t="s">
        <v>705</v>
      </c>
      <c r="G17" s="6"/>
      <c r="H17" s="112" t="s">
        <v>1486</v>
      </c>
      <c r="I17" s="7" t="s">
        <v>706</v>
      </c>
      <c r="J17" s="7" t="s">
        <v>1487</v>
      </c>
      <c r="K17" s="7" t="s">
        <v>1488</v>
      </c>
    </row>
    <row r="18" spans="2:11" s="113" customFormat="1" ht="73.900000000000006" customHeight="1" x14ac:dyDescent="0.2">
      <c r="B18" s="2" t="str">
        <f t="shared" si="1"/>
        <v>Alejandro de Leon Moreno - Inversor Particular</v>
      </c>
      <c r="C18" s="114" t="s">
        <v>707</v>
      </c>
      <c r="D18" s="114" t="s">
        <v>1489</v>
      </c>
      <c r="E18" s="115" t="s">
        <v>708</v>
      </c>
      <c r="F18" s="116" t="s">
        <v>709</v>
      </c>
      <c r="G18" s="116"/>
      <c r="H18" s="116" t="s">
        <v>1490</v>
      </c>
      <c r="I18" s="118"/>
      <c r="J18" s="118" t="s">
        <v>1907</v>
      </c>
      <c r="K18" s="118" t="s">
        <v>1491</v>
      </c>
    </row>
    <row r="19" spans="2:11" s="113" customFormat="1" ht="73.900000000000006" customHeight="1" x14ac:dyDescent="0.2">
      <c r="B19" s="2" t="str">
        <f t="shared" si="1"/>
        <v>Alejandro Suárez - Inversor Particular</v>
      </c>
      <c r="C19" s="114" t="s">
        <v>710</v>
      </c>
      <c r="D19" s="114" t="s">
        <v>1492</v>
      </c>
      <c r="E19" s="115" t="s">
        <v>711</v>
      </c>
      <c r="F19" s="116" t="s">
        <v>712</v>
      </c>
      <c r="G19" s="116"/>
      <c r="H19" s="116" t="s">
        <v>1482</v>
      </c>
      <c r="I19" s="118"/>
      <c r="J19" s="118" t="s">
        <v>1493</v>
      </c>
      <c r="K19" s="118" t="s">
        <v>1494</v>
      </c>
    </row>
    <row r="20" spans="2:11" s="113" customFormat="1" ht="73.900000000000006" customHeight="1" x14ac:dyDescent="0.2">
      <c r="B20" s="2" t="str">
        <f t="shared" si="1"/>
        <v>Alex Bryszkowski - Inversor Particular</v>
      </c>
      <c r="C20" s="114" t="s">
        <v>713</v>
      </c>
      <c r="D20" s="114" t="s">
        <v>1495</v>
      </c>
      <c r="E20" s="115" t="s">
        <v>714</v>
      </c>
      <c r="F20" s="116" t="s">
        <v>715</v>
      </c>
      <c r="G20" s="116" t="s">
        <v>716</v>
      </c>
      <c r="H20" s="117" t="s">
        <v>1496</v>
      </c>
      <c r="I20" s="118"/>
      <c r="J20" s="118" t="s">
        <v>1497</v>
      </c>
      <c r="K20" s="118" t="s">
        <v>1498</v>
      </c>
    </row>
    <row r="21" spans="2:11" s="113" customFormat="1" ht="73.900000000000006" customHeight="1" x14ac:dyDescent="0.2">
      <c r="B21" s="2" t="str">
        <f t="shared" si="1"/>
        <v>Alex Dantart - Inversor Particular</v>
      </c>
      <c r="C21" s="114" t="s">
        <v>717</v>
      </c>
      <c r="D21" s="114" t="s">
        <v>1499</v>
      </c>
      <c r="E21" s="115" t="s">
        <v>718</v>
      </c>
      <c r="F21" s="116" t="s">
        <v>719</v>
      </c>
      <c r="G21" s="116" t="s">
        <v>720</v>
      </c>
      <c r="H21" s="121" t="s">
        <v>1500</v>
      </c>
      <c r="I21" s="118" t="s">
        <v>721</v>
      </c>
      <c r="J21" s="118" t="s">
        <v>1501</v>
      </c>
      <c r="K21" s="118" t="s">
        <v>1502</v>
      </c>
    </row>
    <row r="22" spans="2:11" s="113" customFormat="1" ht="73.900000000000006" customHeight="1" x14ac:dyDescent="0.2">
      <c r="B22" s="2" t="str">
        <f t="shared" si="1"/>
        <v>Àlex Rodríguez Bacardit - Inversor Particular</v>
      </c>
      <c r="C22" s="114" t="s">
        <v>722</v>
      </c>
      <c r="D22" s="114" t="s">
        <v>1503</v>
      </c>
      <c r="E22" s="115" t="s">
        <v>723</v>
      </c>
      <c r="F22" s="116"/>
      <c r="G22" s="116" t="s">
        <v>724</v>
      </c>
      <c r="H22" s="121" t="s">
        <v>1504</v>
      </c>
      <c r="I22" s="118" t="s">
        <v>725</v>
      </c>
      <c r="J22" s="118" t="s">
        <v>1505</v>
      </c>
      <c r="K22" s="118" t="s">
        <v>1506</v>
      </c>
    </row>
    <row r="23" spans="2:11" s="113" customFormat="1" ht="73.900000000000006" customHeight="1" x14ac:dyDescent="0.2">
      <c r="B23" s="2" t="str">
        <f t="shared" si="1"/>
        <v>Andoni Alfaro - Inversor Particular</v>
      </c>
      <c r="C23" s="114" t="s">
        <v>726</v>
      </c>
      <c r="D23" s="114" t="s">
        <v>1507</v>
      </c>
      <c r="E23" s="115" t="s">
        <v>727</v>
      </c>
      <c r="F23" s="116"/>
      <c r="G23" s="116"/>
      <c r="H23" s="117" t="s">
        <v>1508</v>
      </c>
      <c r="I23" s="118" t="s">
        <v>728</v>
      </c>
      <c r="J23" s="118" t="s">
        <v>1509</v>
      </c>
      <c r="K23" s="118" t="s">
        <v>1510</v>
      </c>
    </row>
    <row r="24" spans="2:11" s="113" customFormat="1" ht="73.900000000000006" customHeight="1" x14ac:dyDescent="0.2">
      <c r="B24" s="2" t="str">
        <f t="shared" si="1"/>
        <v>Andreas Mihalovits - Inversor Particular</v>
      </c>
      <c r="C24" s="114" t="s">
        <v>729</v>
      </c>
      <c r="D24" s="114" t="s">
        <v>1511</v>
      </c>
      <c r="E24" s="115" t="s">
        <v>730</v>
      </c>
      <c r="F24" s="116"/>
      <c r="G24" s="116"/>
      <c r="H24" s="117" t="s">
        <v>1512</v>
      </c>
      <c r="I24" s="118" t="s">
        <v>731</v>
      </c>
      <c r="J24" s="118" t="s">
        <v>1513</v>
      </c>
      <c r="K24" s="118" t="s">
        <v>1514</v>
      </c>
    </row>
    <row r="25" spans="2:11" s="113" customFormat="1" ht="73.900000000000006" customHeight="1" x14ac:dyDescent="0.2">
      <c r="B25" s="2" t="str">
        <f t="shared" si="1"/>
        <v>Andrés Bou - Inversor Particular</v>
      </c>
      <c r="C25" s="114" t="s">
        <v>732</v>
      </c>
      <c r="D25" s="114" t="s">
        <v>1515</v>
      </c>
      <c r="E25" s="115" t="s">
        <v>733</v>
      </c>
      <c r="F25" s="116"/>
      <c r="G25" s="116"/>
      <c r="H25" s="117" t="s">
        <v>1516</v>
      </c>
      <c r="I25" s="118" t="s">
        <v>734</v>
      </c>
      <c r="J25" s="118" t="s">
        <v>1517</v>
      </c>
      <c r="K25" s="118" t="s">
        <v>1518</v>
      </c>
    </row>
    <row r="26" spans="2:11" s="113" customFormat="1" ht="73.900000000000006" customHeight="1" x14ac:dyDescent="0.2">
      <c r="B26" s="2" t="str">
        <f t="shared" si="1"/>
        <v>Angel Garcia - Inversor Particular</v>
      </c>
      <c r="C26" s="114" t="s">
        <v>735</v>
      </c>
      <c r="D26" s="114" t="s">
        <v>1519</v>
      </c>
      <c r="E26" s="115" t="s">
        <v>736</v>
      </c>
      <c r="F26" s="116"/>
      <c r="G26" s="116" t="s">
        <v>737</v>
      </c>
      <c r="H26" s="117" t="s">
        <v>1520</v>
      </c>
      <c r="I26" s="118" t="s">
        <v>738</v>
      </c>
      <c r="J26" s="118" t="s">
        <v>1521</v>
      </c>
      <c r="K26" s="118" t="s">
        <v>1522</v>
      </c>
    </row>
    <row r="27" spans="2:11" ht="73.900000000000006" customHeight="1" x14ac:dyDescent="0.2">
      <c r="B27" s="4" t="s">
        <v>739</v>
      </c>
      <c r="C27" s="4" t="s">
        <v>739</v>
      </c>
      <c r="D27" s="4" t="s">
        <v>1523</v>
      </c>
      <c r="E27" s="5"/>
      <c r="F27" s="6"/>
      <c r="G27" s="6" t="s">
        <v>740</v>
      </c>
      <c r="H27" s="8" t="s">
        <v>1524</v>
      </c>
      <c r="I27" s="7" t="s">
        <v>741</v>
      </c>
      <c r="J27" s="7" t="s">
        <v>1525</v>
      </c>
      <c r="K27" s="7" t="s">
        <v>1526</v>
      </c>
    </row>
    <row r="28" spans="2:11" ht="73.900000000000006" customHeight="1" x14ac:dyDescent="0.2">
      <c r="B28" s="2" t="str">
        <f t="shared" si="1"/>
        <v>Angels Roqueta - Inversor Particular</v>
      </c>
      <c r="C28" s="4" t="s">
        <v>742</v>
      </c>
      <c r="D28" s="4" t="s">
        <v>1527</v>
      </c>
      <c r="E28" s="5" t="s">
        <v>743</v>
      </c>
      <c r="F28" s="6" t="s">
        <v>744</v>
      </c>
      <c r="G28" s="6"/>
      <c r="H28" s="8" t="s">
        <v>1528</v>
      </c>
      <c r="I28" s="7" t="s">
        <v>745</v>
      </c>
      <c r="J28" s="7" t="s">
        <v>1529</v>
      </c>
      <c r="K28" s="7" t="s">
        <v>1530</v>
      </c>
    </row>
    <row r="29" spans="2:11" ht="73.900000000000006" customHeight="1" x14ac:dyDescent="0.2">
      <c r="B29" s="2" t="str">
        <f t="shared" si="1"/>
        <v>Antonio Cantalapiedra - Inversor Particular</v>
      </c>
      <c r="C29" s="4" t="s">
        <v>746</v>
      </c>
      <c r="D29" s="4" t="s">
        <v>1503</v>
      </c>
      <c r="E29" s="5" t="s">
        <v>747</v>
      </c>
      <c r="F29" s="6" t="s">
        <v>748</v>
      </c>
      <c r="G29" s="6"/>
      <c r="H29" s="6" t="s">
        <v>1531</v>
      </c>
      <c r="I29" s="7" t="s">
        <v>749</v>
      </c>
      <c r="J29" s="7" t="s">
        <v>1532</v>
      </c>
      <c r="K29" s="7" t="s">
        <v>1533</v>
      </c>
    </row>
    <row r="30" spans="2:11" s="113" customFormat="1" ht="73.900000000000006" customHeight="1" x14ac:dyDescent="0.2">
      <c r="B30" s="2" t="str">
        <f t="shared" si="1"/>
        <v>Avi Meir - Inversor Particular</v>
      </c>
      <c r="C30" s="114" t="s">
        <v>750</v>
      </c>
      <c r="D30" s="114" t="s">
        <v>1503</v>
      </c>
      <c r="E30" s="115" t="s">
        <v>751</v>
      </c>
      <c r="F30" s="116" t="s">
        <v>752</v>
      </c>
      <c r="G30" s="116"/>
      <c r="H30" s="117" t="s">
        <v>1534</v>
      </c>
      <c r="I30" s="118" t="s">
        <v>753</v>
      </c>
      <c r="J30" s="118" t="s">
        <v>1535</v>
      </c>
      <c r="K30" s="118" t="s">
        <v>1536</v>
      </c>
    </row>
    <row r="31" spans="2:11" ht="73.900000000000006" customHeight="1" x14ac:dyDescent="0.2">
      <c r="B31" s="4" t="s">
        <v>754</v>
      </c>
      <c r="C31" s="4" t="s">
        <v>754</v>
      </c>
      <c r="D31" s="4" t="s">
        <v>1537</v>
      </c>
      <c r="E31" s="5" t="s">
        <v>755</v>
      </c>
      <c r="F31" s="6"/>
      <c r="G31" s="6"/>
      <c r="H31" s="8" t="s">
        <v>1538</v>
      </c>
      <c r="I31" s="7" t="s">
        <v>756</v>
      </c>
      <c r="J31" s="7" t="s">
        <v>1539</v>
      </c>
      <c r="K31" s="7" t="s">
        <v>1540</v>
      </c>
    </row>
    <row r="32" spans="2:11" s="113" customFormat="1" ht="73.900000000000006" customHeight="1" x14ac:dyDescent="0.2">
      <c r="B32" s="2" t="str">
        <f t="shared" si="1"/>
        <v>Bernardo Hernández - Inversor Particular</v>
      </c>
      <c r="C32" s="114" t="s">
        <v>758</v>
      </c>
      <c r="D32" s="114" t="s">
        <v>1541</v>
      </c>
      <c r="E32" s="115" t="s">
        <v>759</v>
      </c>
      <c r="F32" s="116"/>
      <c r="G32" s="116"/>
      <c r="H32" s="116" t="s">
        <v>1531</v>
      </c>
      <c r="I32" s="118" t="s">
        <v>760</v>
      </c>
      <c r="J32" s="118" t="s">
        <v>1542</v>
      </c>
      <c r="K32" s="118" t="s">
        <v>1543</v>
      </c>
    </row>
    <row r="33" spans="2:11" ht="73.900000000000006" customHeight="1" x14ac:dyDescent="0.2">
      <c r="B33" s="2" t="str">
        <f t="shared" si="1"/>
        <v>Carlos Blanco - Inversor Particular</v>
      </c>
      <c r="C33" s="4" t="s">
        <v>761</v>
      </c>
      <c r="D33" s="4" t="s">
        <v>1503</v>
      </c>
      <c r="E33" s="5" t="s">
        <v>762</v>
      </c>
      <c r="F33" s="6" t="s">
        <v>763</v>
      </c>
      <c r="G33" s="6"/>
      <c r="H33" s="8" t="s">
        <v>1544</v>
      </c>
      <c r="I33" s="7" t="s">
        <v>764</v>
      </c>
      <c r="J33" s="7" t="s">
        <v>1545</v>
      </c>
      <c r="K33" s="7" t="s">
        <v>1546</v>
      </c>
    </row>
    <row r="34" spans="2:11" ht="73.900000000000006" customHeight="1" x14ac:dyDescent="0.2">
      <c r="B34" s="2" t="str">
        <f t="shared" si="1"/>
        <v>Carlos Domingo - Inversor Particular</v>
      </c>
      <c r="C34" s="4" t="s">
        <v>765</v>
      </c>
      <c r="D34" s="4" t="s">
        <v>1547</v>
      </c>
      <c r="E34" s="5" t="s">
        <v>766</v>
      </c>
      <c r="F34" s="6" t="s">
        <v>767</v>
      </c>
      <c r="G34" s="6"/>
      <c r="H34" s="8" t="s">
        <v>1548</v>
      </c>
      <c r="I34" s="7" t="s">
        <v>667</v>
      </c>
      <c r="J34" s="7" t="s">
        <v>1549</v>
      </c>
      <c r="K34" s="7" t="s">
        <v>1550</v>
      </c>
    </row>
    <row r="35" spans="2:11" ht="73.900000000000006" customHeight="1" x14ac:dyDescent="0.2">
      <c r="B35" s="2" t="str">
        <f t="shared" si="1"/>
        <v>Carlos Pierre - Inversor Particular</v>
      </c>
      <c r="C35" s="4" t="s">
        <v>768</v>
      </c>
      <c r="D35" s="4" t="s">
        <v>1515</v>
      </c>
      <c r="E35" s="5" t="s">
        <v>769</v>
      </c>
      <c r="F35" s="6" t="s">
        <v>770</v>
      </c>
      <c r="G35" s="6"/>
      <c r="H35" s="6" t="s">
        <v>1531</v>
      </c>
      <c r="I35" s="7" t="s">
        <v>771</v>
      </c>
      <c r="J35" s="7" t="s">
        <v>1551</v>
      </c>
      <c r="K35" s="7" t="s">
        <v>1552</v>
      </c>
    </row>
    <row r="36" spans="2:11" s="113" customFormat="1" ht="73.900000000000006" customHeight="1" x14ac:dyDescent="0.2">
      <c r="B36" s="114" t="s">
        <v>772</v>
      </c>
      <c r="C36" s="114" t="s">
        <v>772</v>
      </c>
      <c r="D36" s="114" t="s">
        <v>1553</v>
      </c>
      <c r="E36" s="115"/>
      <c r="F36" s="116"/>
      <c r="G36" s="116" t="s">
        <v>773</v>
      </c>
      <c r="H36" s="117" t="s">
        <v>1554</v>
      </c>
      <c r="I36" s="118" t="s">
        <v>774</v>
      </c>
      <c r="J36" s="118" t="s">
        <v>1555</v>
      </c>
      <c r="K36" s="118" t="s">
        <v>1556</v>
      </c>
    </row>
    <row r="37" spans="2:11" s="113" customFormat="1" ht="73.900000000000006" customHeight="1" x14ac:dyDescent="0.2">
      <c r="B37" s="114" t="s">
        <v>775</v>
      </c>
      <c r="C37" s="114" t="s">
        <v>775</v>
      </c>
      <c r="D37" s="114" t="s">
        <v>1557</v>
      </c>
      <c r="E37" s="115"/>
      <c r="F37" s="116"/>
      <c r="G37" s="116" t="s">
        <v>776</v>
      </c>
      <c r="H37" s="117" t="s">
        <v>1558</v>
      </c>
      <c r="I37" s="118"/>
      <c r="J37" s="118" t="s">
        <v>1559</v>
      </c>
      <c r="K37" s="118" t="s">
        <v>1560</v>
      </c>
    </row>
    <row r="38" spans="2:11" ht="73.900000000000006" customHeight="1" x14ac:dyDescent="0.2">
      <c r="B38" s="4" t="s">
        <v>777</v>
      </c>
      <c r="C38" s="4" t="s">
        <v>777</v>
      </c>
      <c r="D38" s="4" t="s">
        <v>1561</v>
      </c>
      <c r="E38" s="5"/>
      <c r="F38" s="6"/>
      <c r="G38" s="6" t="s">
        <v>778</v>
      </c>
      <c r="H38" s="8" t="s">
        <v>1562</v>
      </c>
      <c r="I38" s="7"/>
      <c r="J38" s="7" t="s">
        <v>1563</v>
      </c>
      <c r="K38" s="7" t="s">
        <v>1564</v>
      </c>
    </row>
    <row r="39" spans="2:11" ht="73.900000000000006" customHeight="1" x14ac:dyDescent="0.2">
      <c r="B39" s="4" t="s">
        <v>779</v>
      </c>
      <c r="C39" s="4" t="s">
        <v>779</v>
      </c>
      <c r="D39" s="4" t="s">
        <v>1565</v>
      </c>
      <c r="E39" s="5" t="s">
        <v>780</v>
      </c>
      <c r="F39" s="6"/>
      <c r="G39" s="6"/>
      <c r="H39" s="8" t="s">
        <v>1566</v>
      </c>
      <c r="I39" s="7" t="s">
        <v>781</v>
      </c>
      <c r="J39" s="7" t="s">
        <v>1567</v>
      </c>
      <c r="K39" s="7" t="s">
        <v>1568</v>
      </c>
    </row>
    <row r="40" spans="2:11" s="113" customFormat="1" ht="73.900000000000006" customHeight="1" x14ac:dyDescent="0.2">
      <c r="B40" s="2" t="str">
        <f t="shared" si="1"/>
        <v>Daniel Táboas - Inversor Particular</v>
      </c>
      <c r="C40" s="114" t="s">
        <v>782</v>
      </c>
      <c r="D40" s="114" t="s">
        <v>1503</v>
      </c>
      <c r="E40" s="115" t="s">
        <v>783</v>
      </c>
      <c r="F40" s="116"/>
      <c r="G40" s="116"/>
      <c r="H40" s="117" t="s">
        <v>1569</v>
      </c>
      <c r="I40" s="118" t="s">
        <v>757</v>
      </c>
      <c r="J40" s="118" t="s">
        <v>1570</v>
      </c>
      <c r="K40" s="118" t="s">
        <v>1571</v>
      </c>
    </row>
    <row r="41" spans="2:11" s="113" customFormat="1" ht="73.900000000000006" customHeight="1" x14ac:dyDescent="0.2">
      <c r="B41" s="2" t="str">
        <f t="shared" si="1"/>
        <v>David Carrero - Inversor Particular</v>
      </c>
      <c r="C41" s="114" t="s">
        <v>784</v>
      </c>
      <c r="D41" s="114" t="s">
        <v>1503</v>
      </c>
      <c r="E41" s="115" t="s">
        <v>785</v>
      </c>
      <c r="F41" s="116"/>
      <c r="G41" s="116"/>
      <c r="H41" s="117" t="s">
        <v>1572</v>
      </c>
      <c r="I41" s="118" t="s">
        <v>786</v>
      </c>
      <c r="J41" s="118" t="s">
        <v>1573</v>
      </c>
      <c r="K41" s="118" t="s">
        <v>1574</v>
      </c>
    </row>
    <row r="42" spans="2:11" ht="73.900000000000006" customHeight="1" x14ac:dyDescent="0.2">
      <c r="B42" s="2" t="str">
        <f t="shared" si="1"/>
        <v>David Ruiz De Andres - Inversor Particular</v>
      </c>
      <c r="C42" s="4" t="s">
        <v>788</v>
      </c>
      <c r="D42" s="4" t="s">
        <v>1575</v>
      </c>
      <c r="E42" s="5" t="s">
        <v>789</v>
      </c>
      <c r="F42" s="6" t="s">
        <v>790</v>
      </c>
      <c r="G42" s="6" t="s">
        <v>791</v>
      </c>
      <c r="H42" s="8" t="s">
        <v>1576</v>
      </c>
      <c r="I42" s="7" t="s">
        <v>792</v>
      </c>
      <c r="J42" s="7" t="s">
        <v>1577</v>
      </c>
      <c r="K42" s="7" t="s">
        <v>1578</v>
      </c>
    </row>
    <row r="43" spans="2:11" s="113" customFormat="1" ht="73.900000000000006" customHeight="1" x14ac:dyDescent="0.2">
      <c r="B43" s="2" t="str">
        <f t="shared" si="1"/>
        <v>David Tomás - Inversor Particular</v>
      </c>
      <c r="C43" s="114" t="s">
        <v>793</v>
      </c>
      <c r="D43" s="114" t="s">
        <v>1503</v>
      </c>
      <c r="E43" s="115" t="s">
        <v>794</v>
      </c>
      <c r="F43" s="116"/>
      <c r="G43" s="116"/>
      <c r="H43" s="117" t="s">
        <v>1579</v>
      </c>
      <c r="I43" s="118" t="s">
        <v>795</v>
      </c>
      <c r="J43" s="118" t="s">
        <v>1580</v>
      </c>
      <c r="K43" s="118" t="s">
        <v>1581</v>
      </c>
    </row>
    <row r="44" spans="2:11" s="113" customFormat="1" ht="73.900000000000006" customHeight="1" x14ac:dyDescent="0.2">
      <c r="B44" s="2" t="str">
        <f t="shared" si="1"/>
        <v>Dídac Lee - Inversor Particular</v>
      </c>
      <c r="C44" s="114" t="s">
        <v>796</v>
      </c>
      <c r="D44" s="114" t="s">
        <v>1503</v>
      </c>
      <c r="E44" s="115" t="s">
        <v>797</v>
      </c>
      <c r="F44" s="116"/>
      <c r="G44" s="116"/>
      <c r="H44" s="117" t="s">
        <v>1582</v>
      </c>
      <c r="I44" s="118" t="s">
        <v>798</v>
      </c>
      <c r="J44" s="118" t="s">
        <v>1583</v>
      </c>
      <c r="K44" s="118" t="s">
        <v>1584</v>
      </c>
    </row>
    <row r="45" spans="2:11" s="113" customFormat="1" ht="73.900000000000006" customHeight="1" x14ac:dyDescent="0.2">
      <c r="B45" s="2" t="str">
        <f t="shared" si="1"/>
        <v>Diego Ballesteros - Inversor Particular</v>
      </c>
      <c r="C45" s="114" t="s">
        <v>799</v>
      </c>
      <c r="D45" s="114" t="s">
        <v>1503</v>
      </c>
      <c r="E45" s="115" t="s">
        <v>800</v>
      </c>
      <c r="F45" s="116" t="s">
        <v>801</v>
      </c>
      <c r="G45" s="116" t="s">
        <v>802</v>
      </c>
      <c r="H45" s="117" t="s">
        <v>1585</v>
      </c>
      <c r="I45" s="118" t="s">
        <v>803</v>
      </c>
      <c r="J45" s="118" t="s">
        <v>1586</v>
      </c>
      <c r="K45" s="118" t="s">
        <v>1587</v>
      </c>
    </row>
    <row r="46" spans="2:11" s="113" customFormat="1" ht="73.900000000000006" customHeight="1" x14ac:dyDescent="0.2">
      <c r="B46" s="2" t="str">
        <f t="shared" si="1"/>
        <v>Diego Mariño - Inversor Particular</v>
      </c>
      <c r="C46" s="114" t="s">
        <v>804</v>
      </c>
      <c r="D46" s="114" t="s">
        <v>1588</v>
      </c>
      <c r="E46" s="115" t="s">
        <v>805</v>
      </c>
      <c r="F46" s="116" t="s">
        <v>806</v>
      </c>
      <c r="G46" s="116" t="s">
        <v>807</v>
      </c>
      <c r="H46" s="117" t="s">
        <v>1589</v>
      </c>
      <c r="I46" s="118" t="s">
        <v>808</v>
      </c>
      <c r="J46" s="118" t="s">
        <v>1590</v>
      </c>
      <c r="K46" s="118" t="s">
        <v>1591</v>
      </c>
    </row>
    <row r="47" spans="2:11" ht="73.900000000000006" customHeight="1" x14ac:dyDescent="0.2">
      <c r="B47" s="2" t="str">
        <f t="shared" si="1"/>
        <v>Dozen - Inversor Particular</v>
      </c>
      <c r="C47" s="4" t="s">
        <v>809</v>
      </c>
      <c r="D47" s="4" t="s">
        <v>1592</v>
      </c>
      <c r="E47" s="5"/>
      <c r="F47" s="6"/>
      <c r="G47" s="6" t="s">
        <v>810</v>
      </c>
      <c r="H47" s="8" t="s">
        <v>1593</v>
      </c>
      <c r="I47" s="7"/>
      <c r="J47" s="7" t="s">
        <v>1594</v>
      </c>
      <c r="K47" s="7" t="s">
        <v>1595</v>
      </c>
    </row>
    <row r="48" spans="2:11" s="113" customFormat="1" ht="73.900000000000006" customHeight="1" x14ac:dyDescent="0.2">
      <c r="B48" s="114" t="s">
        <v>811</v>
      </c>
      <c r="C48" s="114" t="s">
        <v>811</v>
      </c>
      <c r="D48" s="114" t="s">
        <v>1596</v>
      </c>
      <c r="E48" s="115"/>
      <c r="F48" s="116"/>
      <c r="G48" s="116" t="s">
        <v>812</v>
      </c>
      <c r="H48" s="117" t="s">
        <v>1597</v>
      </c>
      <c r="I48" s="118" t="s">
        <v>813</v>
      </c>
      <c r="J48" s="118" t="s">
        <v>1598</v>
      </c>
      <c r="K48" s="118" t="s">
        <v>1599</v>
      </c>
    </row>
    <row r="49" spans="2:11" ht="73.900000000000006" customHeight="1" x14ac:dyDescent="0.2">
      <c r="B49" s="4" t="s">
        <v>814</v>
      </c>
      <c r="C49" s="4" t="s">
        <v>814</v>
      </c>
      <c r="D49" s="4" t="s">
        <v>1600</v>
      </c>
      <c r="E49" s="5"/>
      <c r="F49" s="6"/>
      <c r="G49" s="6" t="s">
        <v>815</v>
      </c>
      <c r="H49" s="8" t="s">
        <v>1601</v>
      </c>
      <c r="I49" s="7" t="s">
        <v>816</v>
      </c>
      <c r="J49" s="7" t="s">
        <v>1602</v>
      </c>
      <c r="K49" s="7" t="s">
        <v>1603</v>
      </c>
    </row>
    <row r="50" spans="2:11" ht="73.900000000000006" customHeight="1" x14ac:dyDescent="0.2">
      <c r="B50" s="2" t="str">
        <f t="shared" si="1"/>
        <v>Elena Gomez del Pozuelo - Inversor Particular</v>
      </c>
      <c r="C50" s="4" t="s">
        <v>817</v>
      </c>
      <c r="D50" s="4" t="s">
        <v>1604</v>
      </c>
      <c r="E50" s="5" t="s">
        <v>818</v>
      </c>
      <c r="F50" s="6"/>
      <c r="G50" s="6"/>
      <c r="H50" s="8" t="s">
        <v>1605</v>
      </c>
      <c r="I50" s="7" t="s">
        <v>819</v>
      </c>
      <c r="J50" s="7" t="s">
        <v>1606</v>
      </c>
      <c r="K50" s="7" t="s">
        <v>1607</v>
      </c>
    </row>
    <row r="51" spans="2:11" s="113" customFormat="1" ht="73.900000000000006" customHeight="1" x14ac:dyDescent="0.2">
      <c r="B51" s="2" t="str">
        <f t="shared" si="1"/>
        <v>Elies Campo - Inversor Particular</v>
      </c>
      <c r="C51" s="114" t="s">
        <v>820</v>
      </c>
      <c r="D51" s="114" t="s">
        <v>1511</v>
      </c>
      <c r="E51" s="115" t="s">
        <v>821</v>
      </c>
      <c r="F51" s="116"/>
      <c r="G51" s="116"/>
      <c r="H51" s="117" t="s">
        <v>1608</v>
      </c>
      <c r="I51" s="118" t="s">
        <v>822</v>
      </c>
      <c r="J51" s="118" t="s">
        <v>1609</v>
      </c>
      <c r="K51" s="118" t="s">
        <v>1610</v>
      </c>
    </row>
    <row r="52" spans="2:11" s="113" customFormat="1" ht="73.900000000000006" customHeight="1" x14ac:dyDescent="0.2">
      <c r="B52" s="2" t="str">
        <f t="shared" si="1"/>
        <v>Eneko Knörr - Inversor Particular</v>
      </c>
      <c r="C52" s="114" t="s">
        <v>824</v>
      </c>
      <c r="D52" s="114" t="s">
        <v>1503</v>
      </c>
      <c r="E52" s="115" t="s">
        <v>825</v>
      </c>
      <c r="F52" s="116"/>
      <c r="G52" s="116" t="s">
        <v>826</v>
      </c>
      <c r="H52" s="116"/>
      <c r="I52" s="118" t="s">
        <v>827</v>
      </c>
      <c r="J52" s="118" t="s">
        <v>1611</v>
      </c>
      <c r="K52" s="118" t="s">
        <v>1612</v>
      </c>
    </row>
    <row r="53" spans="2:11" s="113" customFormat="1" ht="73.900000000000006" customHeight="1" x14ac:dyDescent="0.2">
      <c r="B53" s="2" t="str">
        <f t="shared" si="1"/>
        <v>Enrique Dubois - Inversor Particular</v>
      </c>
      <c r="C53" s="114" t="s">
        <v>828</v>
      </c>
      <c r="D53" s="114" t="s">
        <v>1515</v>
      </c>
      <c r="E53" s="115" t="s">
        <v>829</v>
      </c>
      <c r="F53" s="116" t="s">
        <v>830</v>
      </c>
      <c r="G53" s="116"/>
      <c r="H53" s="116"/>
      <c r="I53" s="118" t="s">
        <v>831</v>
      </c>
      <c r="J53" s="118" t="s">
        <v>1613</v>
      </c>
      <c r="K53" s="118" t="s">
        <v>1614</v>
      </c>
    </row>
    <row r="54" spans="2:11" s="113" customFormat="1" ht="73.900000000000006" customHeight="1" x14ac:dyDescent="0.2">
      <c r="B54" s="2" t="str">
        <f t="shared" si="1"/>
        <v>Francesc Duarri - Inversor Particular</v>
      </c>
      <c r="C54" s="114" t="s">
        <v>833</v>
      </c>
      <c r="D54" s="114" t="s">
        <v>1615</v>
      </c>
      <c r="E54" s="115" t="s">
        <v>834</v>
      </c>
      <c r="F54" s="116"/>
      <c r="G54" s="116"/>
      <c r="H54" s="116"/>
      <c r="I54" s="118" t="s">
        <v>835</v>
      </c>
      <c r="J54" s="118" t="s">
        <v>1616</v>
      </c>
      <c r="K54" s="118" t="s">
        <v>1617</v>
      </c>
    </row>
    <row r="55" spans="2:11" s="113" customFormat="1" ht="73.900000000000006" customHeight="1" x14ac:dyDescent="0.2">
      <c r="B55" s="2" t="str">
        <f t="shared" si="1"/>
        <v>François Derbaix - Inversor Particular</v>
      </c>
      <c r="C55" s="114" t="s">
        <v>836</v>
      </c>
      <c r="D55" s="114" t="s">
        <v>1503</v>
      </c>
      <c r="E55" s="115" t="s">
        <v>837</v>
      </c>
      <c r="F55" s="116" t="s">
        <v>838</v>
      </c>
      <c r="G55" s="116"/>
      <c r="H55" s="116"/>
      <c r="I55" s="118" t="s">
        <v>839</v>
      </c>
      <c r="J55" s="118" t="s">
        <v>1618</v>
      </c>
      <c r="K55" s="118" t="s">
        <v>1619</v>
      </c>
    </row>
    <row r="56" spans="2:11" s="113" customFormat="1" ht="73.900000000000006" customHeight="1" x14ac:dyDescent="0.2">
      <c r="B56" s="114" t="s">
        <v>842</v>
      </c>
      <c r="C56" s="114" t="s">
        <v>842</v>
      </c>
      <c r="D56" s="114" t="s">
        <v>1620</v>
      </c>
      <c r="E56" s="115"/>
      <c r="F56" s="116"/>
      <c r="G56" s="116" t="s">
        <v>843</v>
      </c>
      <c r="H56" s="116"/>
      <c r="I56" s="118" t="s">
        <v>844</v>
      </c>
      <c r="J56" s="118" t="s">
        <v>1621</v>
      </c>
      <c r="K56" s="118" t="s">
        <v>1622</v>
      </c>
    </row>
    <row r="57" spans="2:11" ht="73.900000000000006" customHeight="1" x14ac:dyDescent="0.2">
      <c r="B57" s="4" t="s">
        <v>845</v>
      </c>
      <c r="C57" s="4" t="s">
        <v>845</v>
      </c>
      <c r="D57" s="4" t="s">
        <v>1623</v>
      </c>
      <c r="E57" s="5" t="s">
        <v>846</v>
      </c>
      <c r="F57" s="6"/>
      <c r="G57" s="6" t="s">
        <v>847</v>
      </c>
      <c r="H57" s="6"/>
      <c r="I57" s="7" t="s">
        <v>848</v>
      </c>
      <c r="J57" s="7" t="s">
        <v>1624</v>
      </c>
      <c r="K57" s="7" t="s">
        <v>1625</v>
      </c>
    </row>
    <row r="58" spans="2:11" s="113" customFormat="1" ht="73.900000000000006" customHeight="1" x14ac:dyDescent="0.2">
      <c r="B58" s="2" t="s">
        <v>2077</v>
      </c>
      <c r="C58" s="114" t="s">
        <v>849</v>
      </c>
      <c r="D58" s="114" t="s">
        <v>1561</v>
      </c>
      <c r="E58" s="115"/>
      <c r="F58" s="116"/>
      <c r="G58" s="116"/>
      <c r="H58" s="116"/>
      <c r="I58" s="118"/>
      <c r="J58" s="118" t="s">
        <v>1626</v>
      </c>
      <c r="K58" s="118" t="s">
        <v>1627</v>
      </c>
    </row>
    <row r="59" spans="2:11" s="113" customFormat="1" ht="73.900000000000006" customHeight="1" x14ac:dyDescent="0.2">
      <c r="B59" s="2" t="str">
        <f t="shared" si="1"/>
        <v>Ignacio Mayol de Tord - Inversor Particular</v>
      </c>
      <c r="C59" s="114" t="s">
        <v>850</v>
      </c>
      <c r="D59" s="114" t="s">
        <v>1628</v>
      </c>
      <c r="E59" s="115" t="s">
        <v>851</v>
      </c>
      <c r="F59" s="116"/>
      <c r="G59" s="116"/>
      <c r="H59" s="116"/>
      <c r="I59" s="118" t="s">
        <v>852</v>
      </c>
      <c r="J59" s="118" t="s">
        <v>1629</v>
      </c>
      <c r="K59" s="118" t="s">
        <v>1630</v>
      </c>
    </row>
    <row r="60" spans="2:11" s="113" customFormat="1" ht="73.900000000000006" customHeight="1" x14ac:dyDescent="0.2">
      <c r="B60" s="2" t="str">
        <f t="shared" si="1"/>
        <v>Iker Marcaide - Inversor Particular</v>
      </c>
      <c r="C60" s="114" t="s">
        <v>853</v>
      </c>
      <c r="D60" s="114" t="s">
        <v>1631</v>
      </c>
      <c r="E60" s="115" t="s">
        <v>854</v>
      </c>
      <c r="F60" s="116" t="s">
        <v>855</v>
      </c>
      <c r="G60" s="116" t="s">
        <v>856</v>
      </c>
      <c r="H60" s="116"/>
      <c r="I60" s="118" t="s">
        <v>857</v>
      </c>
      <c r="J60" s="118" t="s">
        <v>1632</v>
      </c>
      <c r="K60" s="118" t="s">
        <v>1633</v>
      </c>
    </row>
    <row r="61" spans="2:11" ht="73.900000000000006" customHeight="1" x14ac:dyDescent="0.2">
      <c r="B61" s="2" t="str">
        <f t="shared" si="1"/>
        <v>Inés Ures - Inversor Particular</v>
      </c>
      <c r="C61" s="4" t="s">
        <v>858</v>
      </c>
      <c r="D61" s="4" t="s">
        <v>1634</v>
      </c>
      <c r="E61" s="5" t="s">
        <v>859</v>
      </c>
      <c r="F61" s="6"/>
      <c r="G61" s="6"/>
      <c r="H61" s="6"/>
      <c r="I61" s="7" t="s">
        <v>860</v>
      </c>
      <c r="J61" s="7" t="s">
        <v>1635</v>
      </c>
      <c r="K61" s="7" t="s">
        <v>1636</v>
      </c>
    </row>
    <row r="62" spans="2:11" ht="73.900000000000006" customHeight="1" x14ac:dyDescent="0.2">
      <c r="B62" s="2" t="str">
        <f t="shared" si="1"/>
        <v>Jan Brinckmann - Inversor Particular</v>
      </c>
      <c r="C62" s="4" t="s">
        <v>861</v>
      </c>
      <c r="D62" s="4" t="s">
        <v>1503</v>
      </c>
      <c r="E62" s="5" t="s">
        <v>862</v>
      </c>
      <c r="F62" s="6" t="s">
        <v>863</v>
      </c>
      <c r="G62" s="6"/>
      <c r="H62" s="6"/>
      <c r="I62" s="7" t="s">
        <v>864</v>
      </c>
      <c r="J62" s="7" t="s">
        <v>1637</v>
      </c>
      <c r="K62" s="7" t="s">
        <v>1638</v>
      </c>
    </row>
    <row r="63" spans="2:11" ht="73.900000000000006" customHeight="1" x14ac:dyDescent="0.2">
      <c r="B63" s="2" t="str">
        <f t="shared" si="1"/>
        <v>Javier Andrés - Inversor Particular</v>
      </c>
      <c r="C63" s="4" t="s">
        <v>865</v>
      </c>
      <c r="D63" s="4" t="s">
        <v>1639</v>
      </c>
      <c r="E63" s="5" t="s">
        <v>866</v>
      </c>
      <c r="F63" s="6" t="s">
        <v>867</v>
      </c>
      <c r="G63" s="6"/>
      <c r="H63" s="6"/>
      <c r="I63" s="7" t="s">
        <v>868</v>
      </c>
      <c r="J63" s="7" t="s">
        <v>1637</v>
      </c>
      <c r="K63" s="7" t="s">
        <v>1640</v>
      </c>
    </row>
    <row r="64" spans="2:11" ht="73.900000000000006" customHeight="1" x14ac:dyDescent="0.2">
      <c r="B64" s="2" t="str">
        <f t="shared" si="1"/>
        <v>Javier Escribano - Inversor Particular</v>
      </c>
      <c r="C64" s="4" t="s">
        <v>869</v>
      </c>
      <c r="D64" s="4" t="s">
        <v>1641</v>
      </c>
      <c r="E64" s="5" t="s">
        <v>870</v>
      </c>
      <c r="F64" s="6"/>
      <c r="G64" s="6"/>
      <c r="H64" s="6"/>
      <c r="I64" s="7" t="s">
        <v>871</v>
      </c>
      <c r="J64" s="7" t="s">
        <v>1637</v>
      </c>
      <c r="K64" s="7" t="s">
        <v>1642</v>
      </c>
    </row>
    <row r="65" spans="2:11" ht="73.900000000000006" customHeight="1" x14ac:dyDescent="0.2">
      <c r="B65" s="2" t="str">
        <f t="shared" si="1"/>
        <v>Javier Llorente Moral - Inversor Particular</v>
      </c>
      <c r="C65" s="4" t="s">
        <v>872</v>
      </c>
      <c r="D65" s="4" t="s">
        <v>1643</v>
      </c>
      <c r="E65" s="5" t="s">
        <v>873</v>
      </c>
      <c r="F65" s="6"/>
      <c r="G65" s="6"/>
      <c r="H65" s="6"/>
      <c r="I65" s="7"/>
      <c r="J65" s="7" t="s">
        <v>1644</v>
      </c>
      <c r="K65" s="7" t="s">
        <v>1645</v>
      </c>
    </row>
    <row r="66" spans="2:11" ht="73.900000000000006" customHeight="1" x14ac:dyDescent="0.2">
      <c r="B66" s="2" t="str">
        <f t="shared" si="1"/>
        <v>Javier Megias - Inversor Particular</v>
      </c>
      <c r="C66" s="4" t="s">
        <v>874</v>
      </c>
      <c r="D66" s="4" t="s">
        <v>1646</v>
      </c>
      <c r="E66" s="5" t="s">
        <v>875</v>
      </c>
      <c r="F66" s="6" t="s">
        <v>876</v>
      </c>
      <c r="G66" s="6"/>
      <c r="H66" s="6"/>
      <c r="I66" s="7" t="s">
        <v>877</v>
      </c>
      <c r="J66" s="7" t="s">
        <v>1647</v>
      </c>
      <c r="K66" s="7" t="s">
        <v>1648</v>
      </c>
    </row>
    <row r="67" spans="2:11" ht="73.900000000000006" customHeight="1" x14ac:dyDescent="0.2">
      <c r="B67" s="2" t="str">
        <f t="shared" si="1"/>
        <v>Jesús Encinar - Inversor Particular</v>
      </c>
      <c r="C67" s="4" t="s">
        <v>878</v>
      </c>
      <c r="D67" s="4" t="s">
        <v>1649</v>
      </c>
      <c r="E67" s="6"/>
      <c r="F67" s="9" t="s">
        <v>879</v>
      </c>
      <c r="G67" s="6"/>
      <c r="H67" s="6"/>
      <c r="I67" s="7" t="s">
        <v>880</v>
      </c>
      <c r="J67" s="7" t="s">
        <v>1650</v>
      </c>
      <c r="K67" s="7" t="s">
        <v>1651</v>
      </c>
    </row>
    <row r="68" spans="2:11" s="113" customFormat="1" ht="73.900000000000006" customHeight="1" x14ac:dyDescent="0.2">
      <c r="B68" s="2" t="str">
        <f t="shared" si="1"/>
        <v>Jesús Monleón - Inversor Particular</v>
      </c>
      <c r="C68" s="114" t="s">
        <v>881</v>
      </c>
      <c r="D68" s="114" t="s">
        <v>1652</v>
      </c>
      <c r="E68" s="122" t="s">
        <v>882</v>
      </c>
      <c r="F68" s="115" t="s">
        <v>883</v>
      </c>
      <c r="G68" s="115" t="s">
        <v>884</v>
      </c>
      <c r="H68" s="116"/>
      <c r="I68" s="118" t="s">
        <v>885</v>
      </c>
      <c r="J68" s="118" t="s">
        <v>1653</v>
      </c>
      <c r="K68" s="118" t="s">
        <v>1654</v>
      </c>
    </row>
    <row r="69" spans="2:11" s="113" customFormat="1" ht="73.900000000000006" customHeight="1" x14ac:dyDescent="0.2">
      <c r="B69" s="2" t="str">
        <f t="shared" si="1"/>
        <v>Jon Etxebarria - Inversor Particular</v>
      </c>
      <c r="C69" s="114" t="s">
        <v>886</v>
      </c>
      <c r="D69" s="114" t="s">
        <v>1655</v>
      </c>
      <c r="E69" s="115" t="s">
        <v>887</v>
      </c>
      <c r="F69" s="116"/>
      <c r="G69" s="115" t="s">
        <v>888</v>
      </c>
      <c r="H69" s="116"/>
      <c r="I69" s="118" t="s">
        <v>889</v>
      </c>
      <c r="J69" s="118" t="s">
        <v>1656</v>
      </c>
      <c r="K69" s="118" t="s">
        <v>1657</v>
      </c>
    </row>
    <row r="70" spans="2:11" ht="73.900000000000006" customHeight="1" x14ac:dyDescent="0.2">
      <c r="B70" s="2" t="str">
        <f t="shared" si="1"/>
        <v>Julio Arias - Inversor Particular</v>
      </c>
      <c r="C70" s="4" t="s">
        <v>891</v>
      </c>
      <c r="D70" t="s">
        <v>1658</v>
      </c>
      <c r="E70" t="s">
        <v>1659</v>
      </c>
      <c r="F70" t="s">
        <v>1660</v>
      </c>
      <c r="G70" s="6"/>
      <c r="H70" s="6"/>
      <c r="I70" s="7"/>
      <c r="J70" s="7" t="s">
        <v>1659</v>
      </c>
      <c r="K70" s="7" t="s">
        <v>1660</v>
      </c>
    </row>
    <row r="71" spans="2:11" ht="73.900000000000006" customHeight="1" x14ac:dyDescent="0.2">
      <c r="B71" s="4" t="s">
        <v>892</v>
      </c>
      <c r="C71" s="4" t="s">
        <v>892</v>
      </c>
      <c r="D71" s="4" t="s">
        <v>1661</v>
      </c>
      <c r="E71" s="6"/>
      <c r="F71" s="6"/>
      <c r="G71" s="5" t="s">
        <v>893</v>
      </c>
      <c r="H71" s="6"/>
      <c r="I71" s="7" t="s">
        <v>894</v>
      </c>
      <c r="J71" s="7" t="s">
        <v>1662</v>
      </c>
      <c r="K71" s="7" t="s">
        <v>1663</v>
      </c>
    </row>
    <row r="72" spans="2:11" ht="73.900000000000006" customHeight="1" x14ac:dyDescent="0.2">
      <c r="B72" s="2" t="str">
        <f t="shared" ref="B72:B135" si="2">C72&amp;" - Inversor Particular"</f>
        <v>Karen Prats - Inversor Particular</v>
      </c>
      <c r="C72" s="4" t="s">
        <v>895</v>
      </c>
      <c r="D72" t="s">
        <v>1604</v>
      </c>
      <c r="E72" t="s">
        <v>1662</v>
      </c>
      <c r="F72" t="s">
        <v>1663</v>
      </c>
      <c r="G72" s="6"/>
      <c r="H72" s="6"/>
      <c r="I72" s="7" t="s">
        <v>896</v>
      </c>
      <c r="J72" s="7" t="s">
        <v>1664</v>
      </c>
      <c r="K72" s="7" t="s">
        <v>1665</v>
      </c>
    </row>
    <row r="73" spans="2:11" ht="73.900000000000006" customHeight="1" x14ac:dyDescent="0.2">
      <c r="B73" s="4" t="s">
        <v>897</v>
      </c>
      <c r="C73" s="4" t="s">
        <v>897</v>
      </c>
      <c r="D73" s="4" t="s">
        <v>1561</v>
      </c>
      <c r="E73" s="6"/>
      <c r="F73" s="6"/>
      <c r="G73" s="5" t="s">
        <v>898</v>
      </c>
      <c r="H73" s="6"/>
      <c r="I73" s="7" t="s">
        <v>899</v>
      </c>
      <c r="J73" s="7" t="s">
        <v>1666</v>
      </c>
      <c r="K73" s="7" t="s">
        <v>1667</v>
      </c>
    </row>
    <row r="74" spans="2:11" ht="73.900000000000006" customHeight="1" x14ac:dyDescent="0.2">
      <c r="B74" s="4" t="s">
        <v>900</v>
      </c>
      <c r="C74" s="4" t="s">
        <v>900</v>
      </c>
      <c r="D74" s="4" t="s">
        <v>1668</v>
      </c>
      <c r="E74" s="6"/>
      <c r="F74" s="6"/>
      <c r="G74" s="5" t="s">
        <v>901</v>
      </c>
      <c r="H74" s="6"/>
      <c r="I74" s="7" t="s">
        <v>902</v>
      </c>
      <c r="J74" s="7" t="s">
        <v>1669</v>
      </c>
      <c r="K74" s="7" t="s">
        <v>1670</v>
      </c>
    </row>
    <row r="75" spans="2:11" s="113" customFormat="1" ht="73.900000000000006" customHeight="1" x14ac:dyDescent="0.2">
      <c r="B75" s="114" t="s">
        <v>903</v>
      </c>
      <c r="C75" s="114" t="s">
        <v>903</v>
      </c>
      <c r="D75" s="114" t="s">
        <v>1671</v>
      </c>
      <c r="E75" s="116"/>
      <c r="F75" s="116"/>
      <c r="G75" s="115" t="s">
        <v>904</v>
      </c>
      <c r="H75" s="116"/>
      <c r="I75" s="118" t="s">
        <v>905</v>
      </c>
      <c r="J75" s="118" t="s">
        <v>1672</v>
      </c>
      <c r="K75" s="118" t="s">
        <v>1673</v>
      </c>
    </row>
    <row r="76" spans="2:11" s="113" customFormat="1" ht="73.900000000000006" customHeight="1" x14ac:dyDescent="0.2">
      <c r="B76" s="114" t="s">
        <v>906</v>
      </c>
      <c r="C76" s="114" t="s">
        <v>906</v>
      </c>
      <c r="D76" s="114" t="s">
        <v>1674</v>
      </c>
      <c r="E76" s="119"/>
      <c r="F76" s="116"/>
      <c r="G76" s="115" t="s">
        <v>907</v>
      </c>
      <c r="H76" s="116"/>
      <c r="I76" s="118"/>
      <c r="J76" s="118" t="s">
        <v>1675</v>
      </c>
      <c r="K76" s="118" t="s">
        <v>1676</v>
      </c>
    </row>
    <row r="77" spans="2:11" ht="73.900000000000006" customHeight="1" x14ac:dyDescent="0.2">
      <c r="B77" s="4" t="s">
        <v>908</v>
      </c>
      <c r="C77" s="4" t="s">
        <v>908</v>
      </c>
      <c r="D77" s="4" t="s">
        <v>1561</v>
      </c>
      <c r="E77" s="10"/>
      <c r="F77" s="6"/>
      <c r="G77" s="5" t="s">
        <v>909</v>
      </c>
      <c r="H77" s="6"/>
      <c r="I77" s="7"/>
      <c r="J77" s="7" t="s">
        <v>1677</v>
      </c>
      <c r="K77" s="7" t="s">
        <v>1678</v>
      </c>
    </row>
    <row r="78" spans="2:11" ht="73.900000000000006" customHeight="1" x14ac:dyDescent="0.2">
      <c r="B78" s="2" t="str">
        <f t="shared" si="2"/>
        <v>Laura Urquizu - Inversor Particular</v>
      </c>
      <c r="C78" s="4" t="s">
        <v>910</v>
      </c>
      <c r="D78" s="4" t="s">
        <v>1679</v>
      </c>
      <c r="E78" s="5" t="s">
        <v>911</v>
      </c>
      <c r="F78" s="5" t="s">
        <v>912</v>
      </c>
      <c r="G78" s="6"/>
      <c r="H78" s="6"/>
      <c r="I78" s="7" t="s">
        <v>913</v>
      </c>
      <c r="J78" s="7" t="s">
        <v>1680</v>
      </c>
      <c r="K78" s="7" t="s">
        <v>1681</v>
      </c>
    </row>
    <row r="79" spans="2:11" ht="73.900000000000006" customHeight="1" x14ac:dyDescent="0.2">
      <c r="B79" s="4" t="s">
        <v>914</v>
      </c>
      <c r="C79" s="4" t="s">
        <v>914</v>
      </c>
      <c r="D79" s="4" t="s">
        <v>1682</v>
      </c>
      <c r="E79" s="6"/>
      <c r="F79" s="6"/>
      <c r="G79" s="5" t="s">
        <v>915</v>
      </c>
      <c r="H79" s="6"/>
      <c r="I79" s="7" t="s">
        <v>916</v>
      </c>
      <c r="J79" s="7" t="s">
        <v>1683</v>
      </c>
      <c r="K79" s="7" t="s">
        <v>1684</v>
      </c>
    </row>
    <row r="80" spans="2:11" ht="73.900000000000006" customHeight="1" x14ac:dyDescent="0.2">
      <c r="B80" s="2" t="str">
        <f t="shared" si="2"/>
        <v>Lily Joo - Inversor Particular</v>
      </c>
      <c r="C80" s="4" t="s">
        <v>917</v>
      </c>
      <c r="D80" s="4" t="s">
        <v>1658</v>
      </c>
      <c r="E80" s="5" t="s">
        <v>918</v>
      </c>
      <c r="F80" s="6"/>
      <c r="G80" s="6"/>
      <c r="H80" s="6"/>
      <c r="I80" s="7" t="s">
        <v>919</v>
      </c>
      <c r="J80" s="7" t="s">
        <v>1685</v>
      </c>
      <c r="K80" s="7" t="s">
        <v>1686</v>
      </c>
    </row>
    <row r="81" spans="2:11" ht="73.900000000000006" customHeight="1" x14ac:dyDescent="0.2">
      <c r="B81" s="2" t="str">
        <f t="shared" si="2"/>
        <v>Liz Fleming - Inversor Particular</v>
      </c>
      <c r="C81" s="4" t="s">
        <v>920</v>
      </c>
      <c r="D81" s="4" t="s">
        <v>1687</v>
      </c>
      <c r="E81" s="5" t="s">
        <v>921</v>
      </c>
      <c r="F81" s="5" t="s">
        <v>922</v>
      </c>
      <c r="G81" s="6"/>
      <c r="H81" s="6"/>
      <c r="I81" s="7" t="s">
        <v>923</v>
      </c>
      <c r="J81" s="7" t="s">
        <v>1688</v>
      </c>
      <c r="K81" s="7" t="s">
        <v>1689</v>
      </c>
    </row>
    <row r="82" spans="2:11" ht="73.900000000000006" customHeight="1" x14ac:dyDescent="0.2">
      <c r="B82" s="2" t="str">
        <f t="shared" si="2"/>
        <v>Luis Bonell - Inversor Particular</v>
      </c>
      <c r="C82" s="4" t="s">
        <v>924</v>
      </c>
      <c r="D82" s="4" t="s">
        <v>1658</v>
      </c>
      <c r="E82" s="5" t="s">
        <v>925</v>
      </c>
      <c r="F82" s="6"/>
      <c r="G82" s="6"/>
      <c r="H82" s="6"/>
      <c r="I82" s="7" t="s">
        <v>926</v>
      </c>
      <c r="J82" s="7" t="s">
        <v>1690</v>
      </c>
      <c r="K82" s="7" t="s">
        <v>1691</v>
      </c>
    </row>
    <row r="83" spans="2:11" ht="73.900000000000006" customHeight="1" x14ac:dyDescent="0.2">
      <c r="B83" s="2" t="str">
        <f t="shared" si="2"/>
        <v>Luis Gutierrez - Inversor Particular</v>
      </c>
      <c r="C83" s="4" t="s">
        <v>927</v>
      </c>
      <c r="D83" s="4" t="s">
        <v>1692</v>
      </c>
      <c r="E83" s="5" t="s">
        <v>928</v>
      </c>
      <c r="F83" s="6"/>
      <c r="G83" s="6"/>
      <c r="H83" s="6"/>
      <c r="I83" s="7" t="s">
        <v>929</v>
      </c>
      <c r="J83" s="7" t="s">
        <v>1693</v>
      </c>
      <c r="K83" s="7" t="s">
        <v>1694</v>
      </c>
    </row>
    <row r="84" spans="2:11" s="113" customFormat="1" ht="73.900000000000006" customHeight="1" x14ac:dyDescent="0.2">
      <c r="B84" s="2" t="str">
        <f t="shared" si="2"/>
        <v>Luis Martin Cabiedes - Inversor Particular</v>
      </c>
      <c r="C84" s="114" t="s">
        <v>930</v>
      </c>
      <c r="D84" s="114" t="s">
        <v>1658</v>
      </c>
      <c r="E84" s="115" t="s">
        <v>931</v>
      </c>
      <c r="F84" s="115" t="s">
        <v>932</v>
      </c>
      <c r="G84" s="116"/>
      <c r="H84" s="116"/>
      <c r="I84" s="118" t="s">
        <v>933</v>
      </c>
      <c r="J84" s="118" t="s">
        <v>1695</v>
      </c>
      <c r="K84" s="118" t="s">
        <v>1696</v>
      </c>
    </row>
    <row r="85" spans="2:11" ht="73.900000000000006" customHeight="1" x14ac:dyDescent="0.2">
      <c r="B85" s="4" t="s">
        <v>934</v>
      </c>
      <c r="C85" s="4" t="s">
        <v>934</v>
      </c>
      <c r="D85" s="4" t="s">
        <v>1561</v>
      </c>
      <c r="E85" s="10"/>
      <c r="F85" s="6"/>
      <c r="G85" s="6"/>
      <c r="H85" s="6"/>
      <c r="I85" s="7"/>
      <c r="J85" s="7" t="s">
        <v>1697</v>
      </c>
      <c r="K85" s="7" t="s">
        <v>1698</v>
      </c>
    </row>
    <row r="86" spans="2:11" ht="73.900000000000006" customHeight="1" x14ac:dyDescent="0.2">
      <c r="B86" s="4" t="s">
        <v>935</v>
      </c>
      <c r="C86" s="4" t="s">
        <v>935</v>
      </c>
      <c r="D86" s="4" t="s">
        <v>1699</v>
      </c>
      <c r="E86" s="5" t="s">
        <v>936</v>
      </c>
      <c r="F86" s="6"/>
      <c r="G86" s="6"/>
      <c r="H86" s="6"/>
      <c r="I86" s="7"/>
      <c r="J86" s="7" t="s">
        <v>1700</v>
      </c>
      <c r="K86" s="7" t="s">
        <v>1701</v>
      </c>
    </row>
    <row r="87" spans="2:11" ht="73.900000000000006" customHeight="1" x14ac:dyDescent="0.2">
      <c r="B87" s="2" t="str">
        <f t="shared" si="2"/>
        <v>Manuel Jaffrin - Inversor Particular</v>
      </c>
      <c r="C87" s="4" t="s">
        <v>937</v>
      </c>
      <c r="D87" s="4" t="s">
        <v>1658</v>
      </c>
      <c r="E87" s="5" t="s">
        <v>938</v>
      </c>
      <c r="F87" s="6"/>
      <c r="G87" s="6"/>
      <c r="H87" s="6"/>
      <c r="I87" s="7" t="s">
        <v>939</v>
      </c>
      <c r="J87" s="7" t="s">
        <v>1702</v>
      </c>
      <c r="K87" s="7" t="s">
        <v>1703</v>
      </c>
    </row>
    <row r="88" spans="2:11" ht="73.900000000000006" customHeight="1" x14ac:dyDescent="0.2">
      <c r="B88" s="2" t="str">
        <f t="shared" si="2"/>
        <v>Manuel Muñiz-Morell - Inversor Particular</v>
      </c>
      <c r="C88" s="4" t="s">
        <v>940</v>
      </c>
      <c r="D88" s="4" t="s">
        <v>1658</v>
      </c>
      <c r="E88" s="5" t="s">
        <v>941</v>
      </c>
      <c r="F88" s="5" t="s">
        <v>942</v>
      </c>
      <c r="G88" s="6"/>
      <c r="H88" s="6"/>
      <c r="I88" s="7" t="s">
        <v>943</v>
      </c>
      <c r="J88" s="7" t="s">
        <v>1704</v>
      </c>
      <c r="K88" s="7" t="s">
        <v>1705</v>
      </c>
    </row>
    <row r="89" spans="2:11" s="113" customFormat="1" ht="73.900000000000006" customHeight="1" x14ac:dyDescent="0.2">
      <c r="B89" s="2" t="str">
        <f t="shared" si="2"/>
        <v>Marc Borrell - Inversor Particular</v>
      </c>
      <c r="C89" s="114" t="s">
        <v>944</v>
      </c>
      <c r="D89" s="114" t="s">
        <v>1706</v>
      </c>
      <c r="E89" s="115" t="s">
        <v>945</v>
      </c>
      <c r="F89" s="116"/>
      <c r="G89" s="116"/>
      <c r="H89" s="116"/>
      <c r="I89" s="118" t="s">
        <v>946</v>
      </c>
      <c r="J89" s="118" t="s">
        <v>1910</v>
      </c>
      <c r="K89" s="118" t="s">
        <v>1911</v>
      </c>
    </row>
    <row r="90" spans="2:11" ht="73.900000000000006" customHeight="1" x14ac:dyDescent="0.2">
      <c r="B90" s="2" t="str">
        <f t="shared" si="2"/>
        <v>Marc Edo - Inversor Particular</v>
      </c>
      <c r="C90" s="4" t="s">
        <v>947</v>
      </c>
      <c r="D90" s="4" t="s">
        <v>1707</v>
      </c>
      <c r="E90" s="5" t="s">
        <v>948</v>
      </c>
      <c r="F90" s="6"/>
      <c r="G90" s="6"/>
      <c r="H90" s="6"/>
      <c r="I90" s="7" t="s">
        <v>949</v>
      </c>
      <c r="J90" s="7" t="s">
        <v>1708</v>
      </c>
      <c r="K90" s="7" t="s">
        <v>1709</v>
      </c>
    </row>
    <row r="91" spans="2:11" s="113" customFormat="1" ht="73.900000000000006" customHeight="1" x14ac:dyDescent="0.2">
      <c r="B91" s="2" t="str">
        <f t="shared" si="2"/>
        <v>Marc Ingla - Inversor Particular</v>
      </c>
      <c r="C91" s="114" t="s">
        <v>950</v>
      </c>
      <c r="D91" s="114" t="s">
        <v>1710</v>
      </c>
      <c r="E91" s="115" t="s">
        <v>951</v>
      </c>
      <c r="F91" s="115" t="s">
        <v>952</v>
      </c>
      <c r="G91" s="116"/>
      <c r="H91" s="116"/>
      <c r="I91" s="129" t="s">
        <v>953</v>
      </c>
      <c r="J91" s="129" t="s">
        <v>1711</v>
      </c>
      <c r="K91" s="129" t="s">
        <v>1712</v>
      </c>
    </row>
    <row r="92" spans="2:11" ht="73.900000000000006" customHeight="1" x14ac:dyDescent="0.2">
      <c r="B92" s="2" t="str">
        <f t="shared" si="2"/>
        <v>Marc Ros - Inversor Particular</v>
      </c>
      <c r="C92" s="4" t="s">
        <v>954</v>
      </c>
      <c r="D92" s="4" t="s">
        <v>1713</v>
      </c>
      <c r="E92" s="5" t="s">
        <v>955</v>
      </c>
      <c r="F92" s="6"/>
      <c r="G92" s="6"/>
      <c r="H92" s="6"/>
      <c r="I92" s="7" t="s">
        <v>956</v>
      </c>
      <c r="J92" s="7" t="s">
        <v>1714</v>
      </c>
      <c r="K92" s="7" t="s">
        <v>1715</v>
      </c>
    </row>
    <row r="93" spans="2:11" s="113" customFormat="1" ht="73.900000000000006" customHeight="1" x14ac:dyDescent="0.2">
      <c r="B93" s="2" t="str">
        <f t="shared" si="2"/>
        <v>Marc Vicente - Inversor Particular</v>
      </c>
      <c r="C93" s="114" t="s">
        <v>957</v>
      </c>
      <c r="D93" s="114" t="s">
        <v>1716</v>
      </c>
      <c r="E93" s="115" t="s">
        <v>958</v>
      </c>
      <c r="F93" s="115" t="s">
        <v>959</v>
      </c>
      <c r="G93" s="116"/>
      <c r="H93" s="116"/>
      <c r="I93" s="118" t="s">
        <v>960</v>
      </c>
      <c r="J93" s="118" t="s">
        <v>1717</v>
      </c>
      <c r="K93" s="118" t="s">
        <v>1718</v>
      </c>
    </row>
    <row r="94" spans="2:11" s="113" customFormat="1" ht="73.900000000000006" customHeight="1" x14ac:dyDescent="0.2">
      <c r="B94" s="2" t="str">
        <f t="shared" si="2"/>
        <v>Marcos Alves - Inversor Particular</v>
      </c>
      <c r="C94" s="114" t="s">
        <v>961</v>
      </c>
      <c r="D94" s="114" t="s">
        <v>1503</v>
      </c>
      <c r="E94" s="115" t="s">
        <v>962</v>
      </c>
      <c r="F94" s="115" t="s">
        <v>963</v>
      </c>
      <c r="G94" s="116"/>
      <c r="H94" s="116"/>
      <c r="I94" s="118" t="s">
        <v>964</v>
      </c>
      <c r="J94" s="118" t="s">
        <v>1719</v>
      </c>
      <c r="K94" s="118" t="s">
        <v>1720</v>
      </c>
    </row>
    <row r="95" spans="2:11" ht="73.900000000000006" customHeight="1" x14ac:dyDescent="0.2">
      <c r="B95" s="2" t="str">
        <f t="shared" si="2"/>
        <v>Marcos Cabezón - Inversor Particular</v>
      </c>
      <c r="C95" s="4" t="s">
        <v>965</v>
      </c>
      <c r="D95" s="4" t="s">
        <v>1721</v>
      </c>
      <c r="E95" s="5" t="s">
        <v>966</v>
      </c>
      <c r="F95" s="6"/>
      <c r="G95" s="5" t="s">
        <v>967</v>
      </c>
      <c r="H95" s="6"/>
      <c r="I95" s="7" t="s">
        <v>968</v>
      </c>
      <c r="J95" s="7" t="s">
        <v>1722</v>
      </c>
      <c r="K95" s="7" t="s">
        <v>1723</v>
      </c>
    </row>
    <row r="96" spans="2:11" ht="73.900000000000006" customHeight="1" x14ac:dyDescent="0.2">
      <c r="B96" s="2" t="str">
        <f t="shared" si="2"/>
        <v>Marek Fodor - Inversor Particular</v>
      </c>
      <c r="C96" s="4" t="s">
        <v>969</v>
      </c>
      <c r="D96" s="4" t="s">
        <v>1503</v>
      </c>
      <c r="E96" s="5" t="s">
        <v>970</v>
      </c>
      <c r="F96" s="5" t="s">
        <v>971</v>
      </c>
      <c r="G96" s="6"/>
      <c r="H96" s="6"/>
      <c r="I96" s="7" t="s">
        <v>972</v>
      </c>
      <c r="J96" s="7" t="s">
        <v>1724</v>
      </c>
      <c r="K96" s="7" t="s">
        <v>1725</v>
      </c>
    </row>
    <row r="97" spans="2:11" ht="73.900000000000006" customHeight="1" x14ac:dyDescent="0.2">
      <c r="B97" s="2" t="str">
        <f t="shared" si="2"/>
        <v>María Echavarri - Inversor Particular</v>
      </c>
      <c r="C97" s="4" t="s">
        <v>973</v>
      </c>
      <c r="D97" s="4" t="s">
        <v>1726</v>
      </c>
      <c r="E97" s="5" t="s">
        <v>974</v>
      </c>
      <c r="F97" s="6"/>
      <c r="G97" s="6"/>
      <c r="H97" s="6"/>
      <c r="I97" s="7" t="s">
        <v>975</v>
      </c>
      <c r="J97" s="7" t="s">
        <v>832</v>
      </c>
      <c r="K97" s="7" t="s">
        <v>1727</v>
      </c>
    </row>
    <row r="98" spans="2:11" ht="73.900000000000006" customHeight="1" x14ac:dyDescent="0.2">
      <c r="B98" s="2" t="str">
        <f t="shared" si="2"/>
        <v>María Eugenia Girón - Inversor Particular</v>
      </c>
      <c r="C98" s="4" t="s">
        <v>976</v>
      </c>
      <c r="D98" s="4" t="s">
        <v>1728</v>
      </c>
      <c r="E98" s="5" t="s">
        <v>977</v>
      </c>
      <c r="F98" s="5" t="s">
        <v>978</v>
      </c>
      <c r="G98" s="6"/>
      <c r="H98" s="6"/>
      <c r="I98" s="7"/>
      <c r="J98" s="7" t="s">
        <v>1729</v>
      </c>
      <c r="K98" s="7" t="s">
        <v>1730</v>
      </c>
    </row>
    <row r="99" spans="2:11" ht="73.900000000000006" customHeight="1" x14ac:dyDescent="0.2">
      <c r="B99" s="2" t="str">
        <f t="shared" si="2"/>
        <v>Maria Luisa Garcia - Inversor Particular</v>
      </c>
      <c r="C99" s="4" t="s">
        <v>979</v>
      </c>
      <c r="D99" s="4" t="s">
        <v>1658</v>
      </c>
      <c r="E99" s="9" t="s">
        <v>980</v>
      </c>
      <c r="F99" s="6"/>
      <c r="G99" s="6"/>
      <c r="H99" s="6"/>
      <c r="I99" s="7" t="s">
        <v>981</v>
      </c>
      <c r="J99" s="7" t="s">
        <v>1731</v>
      </c>
      <c r="K99" s="7" t="s">
        <v>1732</v>
      </c>
    </row>
    <row r="100" spans="2:11" ht="73.900000000000006" customHeight="1" x14ac:dyDescent="0.2">
      <c r="B100" s="2" t="str">
        <f t="shared" si="2"/>
        <v>Mario Bruggemann - Inversor Particular</v>
      </c>
      <c r="C100" s="4" t="s">
        <v>982</v>
      </c>
      <c r="D100" s="4" t="s">
        <v>1721</v>
      </c>
      <c r="E100" s="5" t="s">
        <v>983</v>
      </c>
      <c r="F100" s="6"/>
      <c r="G100" s="6"/>
      <c r="H100" s="6"/>
      <c r="I100" s="7"/>
      <c r="J100" s="7" t="s">
        <v>1733</v>
      </c>
      <c r="K100" s="7" t="s">
        <v>1734</v>
      </c>
    </row>
    <row r="101" spans="2:11" ht="73.900000000000006" customHeight="1" x14ac:dyDescent="0.2">
      <c r="B101" s="2" t="str">
        <f t="shared" si="2"/>
        <v>Mario Vicente Sánchez - Inversor Particular</v>
      </c>
      <c r="C101" s="4" t="s">
        <v>984</v>
      </c>
      <c r="D101" s="4" t="s">
        <v>1658</v>
      </c>
      <c r="E101" s="5" t="s">
        <v>985</v>
      </c>
      <c r="F101" s="6"/>
      <c r="G101" s="6"/>
      <c r="H101" s="6"/>
      <c r="I101" s="7" t="s">
        <v>986</v>
      </c>
      <c r="J101" s="7" t="s">
        <v>1735</v>
      </c>
      <c r="K101" s="7" t="s">
        <v>1736</v>
      </c>
    </row>
    <row r="102" spans="2:11" ht="73.900000000000006" customHeight="1" x14ac:dyDescent="0.2">
      <c r="B102" s="2" t="str">
        <f t="shared" si="2"/>
        <v>Markus Kopka - Inversor Particular</v>
      </c>
      <c r="C102" s="4" t="s">
        <v>987</v>
      </c>
      <c r="D102" s="4" t="s">
        <v>1713</v>
      </c>
      <c r="E102" s="5" t="s">
        <v>988</v>
      </c>
      <c r="F102" s="6"/>
      <c r="G102" s="5" t="s">
        <v>989</v>
      </c>
      <c r="H102" s="6"/>
      <c r="I102" s="7"/>
      <c r="J102" s="7" t="s">
        <v>1737</v>
      </c>
      <c r="K102" s="7" t="s">
        <v>1738</v>
      </c>
    </row>
    <row r="103" spans="2:11" s="113" customFormat="1" ht="73.900000000000006" customHeight="1" x14ac:dyDescent="0.2">
      <c r="B103" s="2" t="str">
        <f t="shared" si="2"/>
        <v>Marta Esteve - Inversor Particular</v>
      </c>
      <c r="C103" s="114" t="s">
        <v>990</v>
      </c>
      <c r="D103" s="114" t="s">
        <v>1604</v>
      </c>
      <c r="E103" s="115" t="s">
        <v>991</v>
      </c>
      <c r="F103" s="116"/>
      <c r="G103" s="116"/>
      <c r="H103" s="116"/>
      <c r="I103" s="118" t="s">
        <v>992</v>
      </c>
      <c r="J103" s="118" t="s">
        <v>1739</v>
      </c>
      <c r="K103" s="118" t="s">
        <v>1740</v>
      </c>
    </row>
    <row r="104" spans="2:11" ht="73.900000000000006" customHeight="1" x14ac:dyDescent="0.2">
      <c r="B104" s="2" t="str">
        <f t="shared" si="2"/>
        <v>Martí Manent - Inversor Particular</v>
      </c>
      <c r="C104" s="4" t="s">
        <v>993</v>
      </c>
      <c r="D104" s="4" t="s">
        <v>1503</v>
      </c>
      <c r="E104" s="5" t="s">
        <v>994</v>
      </c>
      <c r="F104" s="9" t="s">
        <v>995</v>
      </c>
      <c r="G104" s="6"/>
      <c r="H104" s="6"/>
      <c r="I104" s="7" t="s">
        <v>996</v>
      </c>
      <c r="J104" s="7" t="s">
        <v>1741</v>
      </c>
      <c r="K104" s="7" t="s">
        <v>1742</v>
      </c>
    </row>
    <row r="105" spans="2:11" s="113" customFormat="1" ht="73.900000000000006" customHeight="1" x14ac:dyDescent="0.2">
      <c r="B105" s="2" t="str">
        <f t="shared" si="2"/>
        <v>Martín Varsavsky - Inversor Particular</v>
      </c>
      <c r="C105" s="114" t="s">
        <v>997</v>
      </c>
      <c r="D105" s="114" t="s">
        <v>1706</v>
      </c>
      <c r="E105" s="115" t="s">
        <v>998</v>
      </c>
      <c r="F105" s="115" t="s">
        <v>999</v>
      </c>
      <c r="G105" s="115" t="s">
        <v>1000</v>
      </c>
      <c r="H105" s="116"/>
      <c r="I105" s="118" t="s">
        <v>1001</v>
      </c>
      <c r="J105" s="118" t="s">
        <v>1242</v>
      </c>
      <c r="K105" s="118" t="s">
        <v>1743</v>
      </c>
    </row>
    <row r="106" spans="2:11" ht="73.900000000000006" customHeight="1" x14ac:dyDescent="0.2">
      <c r="B106" s="4" t="s">
        <v>1002</v>
      </c>
      <c r="C106" s="4" t="s">
        <v>1002</v>
      </c>
      <c r="D106" s="4" t="s">
        <v>1744</v>
      </c>
      <c r="E106" s="10"/>
      <c r="F106" s="6"/>
      <c r="G106" s="5" t="s">
        <v>1003</v>
      </c>
      <c r="H106" s="6"/>
      <c r="I106" s="7" t="s">
        <v>1004</v>
      </c>
      <c r="J106" s="7" t="s">
        <v>1745</v>
      </c>
      <c r="K106" s="7" t="s">
        <v>1746</v>
      </c>
    </row>
    <row r="107" spans="2:11" ht="73.900000000000006" customHeight="1" x14ac:dyDescent="0.2">
      <c r="B107" s="2" t="str">
        <f t="shared" si="2"/>
        <v>Mercedes Blanco Gonzalez - Inversor Particular</v>
      </c>
      <c r="C107" s="4" t="s">
        <v>1005</v>
      </c>
      <c r="D107" s="4" t="s">
        <v>1728</v>
      </c>
      <c r="E107" s="5" t="s">
        <v>1006</v>
      </c>
      <c r="F107" s="6"/>
      <c r="G107" s="6"/>
      <c r="H107" s="6"/>
      <c r="I107" s="11"/>
      <c r="J107" s="11" t="s">
        <v>1747</v>
      </c>
      <c r="K107" s="11" t="s">
        <v>1748</v>
      </c>
    </row>
    <row r="108" spans="2:11" ht="73.900000000000006" customHeight="1" x14ac:dyDescent="0.2">
      <c r="B108" s="4" t="s">
        <v>1007</v>
      </c>
      <c r="C108" s="4" t="s">
        <v>1007</v>
      </c>
      <c r="D108" s="4" t="s">
        <v>1661</v>
      </c>
      <c r="E108" s="10"/>
      <c r="F108" s="6"/>
      <c r="G108" s="5" t="s">
        <v>1008</v>
      </c>
      <c r="H108" s="6"/>
      <c r="I108" s="7"/>
      <c r="J108" s="7" t="s">
        <v>1749</v>
      </c>
      <c r="K108" s="7" t="s">
        <v>1750</v>
      </c>
    </row>
    <row r="109" spans="2:11" ht="73.900000000000006" customHeight="1" x14ac:dyDescent="0.2">
      <c r="B109" s="2" t="str">
        <f t="shared" si="2"/>
        <v>Michael Kappler - Inversor Particular</v>
      </c>
      <c r="C109" s="4" t="s">
        <v>1009</v>
      </c>
      <c r="D109" s="4" t="s">
        <v>1713</v>
      </c>
      <c r="E109" s="5" t="s">
        <v>1010</v>
      </c>
      <c r="F109" s="6"/>
      <c r="G109" s="6"/>
      <c r="H109" s="6"/>
      <c r="I109" s="7" t="s">
        <v>1011</v>
      </c>
      <c r="J109" s="7" t="s">
        <v>1751</v>
      </c>
      <c r="K109" s="7" t="s">
        <v>1752</v>
      </c>
    </row>
    <row r="110" spans="2:11" ht="73.900000000000006" customHeight="1" x14ac:dyDescent="0.2">
      <c r="B110" s="2" t="str">
        <f t="shared" si="2"/>
        <v>Miguel Álvarez Rey - Inversor Particular</v>
      </c>
      <c r="C110" s="4" t="s">
        <v>1012</v>
      </c>
      <c r="D110" s="4" t="s">
        <v>1658</v>
      </c>
      <c r="E110" s="5" t="s">
        <v>1013</v>
      </c>
      <c r="F110" s="6"/>
      <c r="G110" s="6"/>
      <c r="H110" s="6"/>
      <c r="I110" s="7" t="s">
        <v>1014</v>
      </c>
      <c r="J110" s="7" t="s">
        <v>1753</v>
      </c>
      <c r="K110" s="7" t="s">
        <v>1754</v>
      </c>
    </row>
    <row r="111" spans="2:11" ht="73.900000000000006" customHeight="1" x14ac:dyDescent="0.2">
      <c r="B111" s="2" t="str">
        <f t="shared" si="2"/>
        <v>Miguel Angel Tovar - Inversor Particular</v>
      </c>
      <c r="C111" s="4" t="s">
        <v>1015</v>
      </c>
      <c r="D111" s="4" t="s">
        <v>1658</v>
      </c>
      <c r="E111" s="5" t="s">
        <v>1016</v>
      </c>
      <c r="F111" s="6"/>
      <c r="G111" s="6"/>
      <c r="H111" s="6"/>
      <c r="I111" s="7" t="s">
        <v>1017</v>
      </c>
      <c r="J111" s="7" t="s">
        <v>1755</v>
      </c>
      <c r="K111" s="7" t="s">
        <v>1756</v>
      </c>
    </row>
    <row r="112" spans="2:11" ht="73.900000000000006" customHeight="1" x14ac:dyDescent="0.2">
      <c r="B112" s="2" t="str">
        <f t="shared" si="2"/>
        <v>Miguel Arias - Inversor Particular</v>
      </c>
      <c r="C112" s="4" t="s">
        <v>1018</v>
      </c>
      <c r="D112" s="4" t="s">
        <v>1692</v>
      </c>
      <c r="E112" s="5" t="s">
        <v>1019</v>
      </c>
      <c r="F112" s="5" t="s">
        <v>1020</v>
      </c>
      <c r="G112" s="5" t="s">
        <v>1021</v>
      </c>
      <c r="H112" s="6"/>
      <c r="I112" s="7" t="s">
        <v>1022</v>
      </c>
      <c r="J112" s="7" t="s">
        <v>1757</v>
      </c>
      <c r="K112" s="7" t="s">
        <v>1758</v>
      </c>
    </row>
    <row r="113" spans="2:11" ht="73.900000000000006" customHeight="1" x14ac:dyDescent="0.2">
      <c r="B113" s="2" t="str">
        <f t="shared" si="2"/>
        <v>Miguel Eguizabal Abad - Inversor Particular</v>
      </c>
      <c r="C113" s="4" t="s">
        <v>1023</v>
      </c>
      <c r="D113" s="4" t="s">
        <v>1713</v>
      </c>
      <c r="E113" s="5" t="s">
        <v>1024</v>
      </c>
      <c r="F113" s="6"/>
      <c r="G113" s="6"/>
      <c r="H113" s="6"/>
      <c r="I113" s="7" t="s">
        <v>1025</v>
      </c>
      <c r="J113" s="7" t="s">
        <v>1759</v>
      </c>
      <c r="K113" s="7" t="s">
        <v>1760</v>
      </c>
    </row>
    <row r="114" spans="2:11" ht="73.900000000000006" customHeight="1" x14ac:dyDescent="0.2">
      <c r="B114" s="2" t="str">
        <f t="shared" si="2"/>
        <v>Miguel Huguet - Inversor Particular</v>
      </c>
      <c r="C114" s="4" t="s">
        <v>1026</v>
      </c>
      <c r="D114" s="4" t="s">
        <v>1761</v>
      </c>
      <c r="E114" s="9" t="s">
        <v>1027</v>
      </c>
      <c r="F114" s="6"/>
      <c r="G114" s="6"/>
      <c r="H114" s="6"/>
      <c r="I114" s="7" t="s">
        <v>1028</v>
      </c>
      <c r="J114" s="7" t="s">
        <v>1729</v>
      </c>
      <c r="K114" s="7" t="s">
        <v>1762</v>
      </c>
    </row>
    <row r="115" spans="2:11" ht="73.900000000000006" customHeight="1" x14ac:dyDescent="0.2">
      <c r="B115" s="2" t="str">
        <f t="shared" si="2"/>
        <v>Miguel Vicente - Inversor Particular</v>
      </c>
      <c r="C115" s="4" t="s">
        <v>1029</v>
      </c>
      <c r="D115" s="4" t="s">
        <v>1706</v>
      </c>
      <c r="E115" s="5" t="s">
        <v>1030</v>
      </c>
      <c r="F115" s="6"/>
      <c r="G115" s="6"/>
      <c r="H115" s="6"/>
      <c r="I115" s="7" t="s">
        <v>840</v>
      </c>
      <c r="J115" s="7" t="s">
        <v>1763</v>
      </c>
      <c r="K115" s="7" t="s">
        <v>1764</v>
      </c>
    </row>
    <row r="116" spans="2:11" ht="73.900000000000006" customHeight="1" x14ac:dyDescent="0.2">
      <c r="B116" s="2" t="str">
        <f t="shared" si="2"/>
        <v>Mikel Castaños Lopez - Inversor Particular</v>
      </c>
      <c r="C116" s="4" t="s">
        <v>1031</v>
      </c>
      <c r="D116" s="4" t="s">
        <v>1658</v>
      </c>
      <c r="E116" s="5" t="s">
        <v>1032</v>
      </c>
      <c r="F116" s="6"/>
      <c r="G116" s="6"/>
      <c r="H116" s="6"/>
      <c r="I116" s="7"/>
      <c r="J116" s="7" t="s">
        <v>1737</v>
      </c>
      <c r="K116" s="7" t="s">
        <v>1765</v>
      </c>
    </row>
    <row r="117" spans="2:11" ht="73.900000000000006" customHeight="1" x14ac:dyDescent="0.2">
      <c r="B117" s="2" t="str">
        <f t="shared" si="2"/>
        <v>Nacho Giral - Inversor Particular</v>
      </c>
      <c r="C117" s="4" t="s">
        <v>1033</v>
      </c>
      <c r="D117" s="4" t="s">
        <v>1766</v>
      </c>
      <c r="E117" s="5" t="s">
        <v>1034</v>
      </c>
      <c r="F117" s="5" t="s">
        <v>1035</v>
      </c>
      <c r="G117" s="6"/>
      <c r="H117" s="6"/>
      <c r="I117" s="7" t="s">
        <v>1036</v>
      </c>
      <c r="J117" s="7" t="s">
        <v>1767</v>
      </c>
      <c r="K117" s="7" t="s">
        <v>1768</v>
      </c>
    </row>
    <row r="118" spans="2:11" ht="73.900000000000006" customHeight="1" x14ac:dyDescent="0.2">
      <c r="B118" s="4" t="s">
        <v>1037</v>
      </c>
      <c r="C118" s="4" t="s">
        <v>1037</v>
      </c>
      <c r="D118" s="4" t="s">
        <v>1661</v>
      </c>
      <c r="E118" s="10"/>
      <c r="F118" s="6"/>
      <c r="G118" s="5" t="s">
        <v>1038</v>
      </c>
      <c r="H118" s="6"/>
      <c r="I118" s="7" t="s">
        <v>1039</v>
      </c>
      <c r="J118" s="7" t="s">
        <v>1769</v>
      </c>
      <c r="K118" s="7" t="s">
        <v>1770</v>
      </c>
    </row>
    <row r="119" spans="2:11" ht="73.900000000000006" customHeight="1" x14ac:dyDescent="0.2">
      <c r="B119" s="4" t="s">
        <v>1040</v>
      </c>
      <c r="C119" s="4" t="s">
        <v>1040</v>
      </c>
      <c r="D119" s="4" t="s">
        <v>1561</v>
      </c>
      <c r="E119" s="10"/>
      <c r="F119" s="6"/>
      <c r="G119" s="6"/>
      <c r="H119" s="6"/>
      <c r="I119" s="7"/>
      <c r="J119" s="7" t="s">
        <v>1771</v>
      </c>
      <c r="K119" s="7" t="s">
        <v>1772</v>
      </c>
    </row>
    <row r="120" spans="2:11" ht="73.900000000000006" customHeight="1" x14ac:dyDescent="0.2">
      <c r="B120" s="2" t="str">
        <f t="shared" si="2"/>
        <v>Nico Bour - Inversor Particular</v>
      </c>
      <c r="C120" s="4" t="s">
        <v>1041</v>
      </c>
      <c r="D120" s="4" t="s">
        <v>1773</v>
      </c>
      <c r="E120" s="5" t="s">
        <v>1042</v>
      </c>
      <c r="F120" s="6"/>
      <c r="G120" s="6"/>
      <c r="H120" s="6"/>
      <c r="I120" s="7" t="s">
        <v>1043</v>
      </c>
      <c r="J120" s="7" t="s">
        <v>1774</v>
      </c>
      <c r="K120" s="7" t="s">
        <v>1775</v>
      </c>
    </row>
    <row r="121" spans="2:11" ht="73.900000000000006" customHeight="1" x14ac:dyDescent="0.2">
      <c r="B121" s="4" t="s">
        <v>1044</v>
      </c>
      <c r="C121" s="4" t="s">
        <v>1044</v>
      </c>
      <c r="D121" s="4" t="s">
        <v>1661</v>
      </c>
      <c r="E121" s="6"/>
      <c r="F121" s="6"/>
      <c r="G121" s="5" t="s">
        <v>1045</v>
      </c>
      <c r="H121" s="6"/>
      <c r="I121" s="7" t="s">
        <v>1046</v>
      </c>
      <c r="J121" s="7" t="s">
        <v>1776</v>
      </c>
      <c r="K121" s="7" t="s">
        <v>1777</v>
      </c>
    </row>
    <row r="122" spans="2:11" ht="73.900000000000006" customHeight="1" x14ac:dyDescent="0.2">
      <c r="B122" s="2" t="str">
        <f t="shared" si="2"/>
        <v>Oriol Juncosa - Inversor Particular</v>
      </c>
      <c r="C122" s="4" t="s">
        <v>1047</v>
      </c>
      <c r="D122" s="4" t="s">
        <v>1658</v>
      </c>
      <c r="E122" s="5" t="s">
        <v>1048</v>
      </c>
      <c r="F122" s="6"/>
      <c r="G122" s="6"/>
      <c r="H122" s="6"/>
      <c r="I122" s="7"/>
      <c r="J122" s="7" t="s">
        <v>1737</v>
      </c>
      <c r="K122" s="7" t="s">
        <v>1778</v>
      </c>
    </row>
    <row r="123" spans="2:11" ht="73.900000000000006" customHeight="1" x14ac:dyDescent="0.2">
      <c r="B123" s="2" t="str">
        <f t="shared" si="2"/>
        <v>Oscar Fuente - Inversor Particular</v>
      </c>
      <c r="C123" s="4" t="s">
        <v>1049</v>
      </c>
      <c r="D123" s="4" t="s">
        <v>1773</v>
      </c>
      <c r="E123" s="5" t="s">
        <v>1050</v>
      </c>
      <c r="F123" s="5" t="s">
        <v>1051</v>
      </c>
      <c r="G123" s="6"/>
      <c r="H123" s="6"/>
      <c r="I123" s="7" t="s">
        <v>1052</v>
      </c>
      <c r="J123" s="7" t="s">
        <v>1779</v>
      </c>
      <c r="K123" s="7" t="s">
        <v>1780</v>
      </c>
    </row>
    <row r="124" spans="2:11" ht="73.900000000000006" customHeight="1" x14ac:dyDescent="0.2">
      <c r="B124" s="2" t="str">
        <f t="shared" si="2"/>
        <v>Pablo Callejon - Inversor Particular</v>
      </c>
      <c r="C124" s="4" t="s">
        <v>1053</v>
      </c>
      <c r="D124" s="4" t="s">
        <v>1658</v>
      </c>
      <c r="E124" s="5" t="s">
        <v>1054</v>
      </c>
      <c r="F124" s="6"/>
      <c r="G124" s="6"/>
      <c r="H124" s="6"/>
      <c r="I124" s="7" t="s">
        <v>1055</v>
      </c>
      <c r="J124" s="7" t="s">
        <v>1781</v>
      </c>
      <c r="K124" s="7" t="s">
        <v>1782</v>
      </c>
    </row>
    <row r="125" spans="2:11" ht="73.900000000000006" customHeight="1" x14ac:dyDescent="0.2">
      <c r="B125" s="2" t="str">
        <f t="shared" si="2"/>
        <v>Pablo Carrallo - Inversor Particular</v>
      </c>
      <c r="C125" s="4" t="s">
        <v>1056</v>
      </c>
      <c r="D125" s="4" t="s">
        <v>1658</v>
      </c>
      <c r="E125" s="5" t="s">
        <v>1057</v>
      </c>
      <c r="F125" s="5" t="s">
        <v>1058</v>
      </c>
      <c r="G125" s="6"/>
      <c r="H125" s="6"/>
      <c r="I125" s="7" t="s">
        <v>1059</v>
      </c>
      <c r="J125" s="7" t="s">
        <v>1783</v>
      </c>
      <c r="K125" s="7" t="s">
        <v>1784</v>
      </c>
    </row>
    <row r="126" spans="2:11" ht="73.900000000000006" customHeight="1" x14ac:dyDescent="0.2">
      <c r="B126" s="2" t="str">
        <f t="shared" si="2"/>
        <v>Pablo Szefner - Inversor Particular</v>
      </c>
      <c r="C126" s="4" t="s">
        <v>1060</v>
      </c>
      <c r="D126" s="4" t="s">
        <v>1658</v>
      </c>
      <c r="E126" s="5" t="s">
        <v>1061</v>
      </c>
      <c r="F126" s="5" t="s">
        <v>1062</v>
      </c>
      <c r="G126" s="6"/>
      <c r="H126" s="6"/>
      <c r="I126" s="7" t="s">
        <v>1063</v>
      </c>
      <c r="J126" s="7" t="s">
        <v>1785</v>
      </c>
      <c r="K126" s="7" t="s">
        <v>1786</v>
      </c>
    </row>
    <row r="127" spans="2:11" ht="73.900000000000006" customHeight="1" x14ac:dyDescent="0.2">
      <c r="B127" s="2" t="str">
        <f t="shared" si="2"/>
        <v>Pablo Zubicaray - Inversor Particular</v>
      </c>
      <c r="C127" s="4" t="s">
        <v>1064</v>
      </c>
      <c r="D127" s="4" t="s">
        <v>1658</v>
      </c>
      <c r="E127" s="5" t="s">
        <v>1065</v>
      </c>
      <c r="F127" s="6"/>
      <c r="G127" s="6"/>
      <c r="H127" s="6"/>
      <c r="I127" s="7" t="s">
        <v>1066</v>
      </c>
      <c r="J127" s="7" t="s">
        <v>1787</v>
      </c>
      <c r="K127" s="7" t="s">
        <v>1788</v>
      </c>
    </row>
    <row r="128" spans="2:11" s="113" customFormat="1" ht="73.900000000000006" customHeight="1" x14ac:dyDescent="0.2">
      <c r="B128" s="2" t="str">
        <f t="shared" si="2"/>
        <v>Paco Gimena - Inversor Particular</v>
      </c>
      <c r="C128" s="114" t="s">
        <v>1067</v>
      </c>
      <c r="D128" s="114" t="s">
        <v>1503</v>
      </c>
      <c r="E128" s="115" t="s">
        <v>1068</v>
      </c>
      <c r="F128" s="116"/>
      <c r="G128" s="115" t="s">
        <v>1069</v>
      </c>
      <c r="H128" s="116"/>
      <c r="I128" s="123" t="s">
        <v>1070</v>
      </c>
      <c r="J128" s="123" t="s">
        <v>1789</v>
      </c>
      <c r="K128" s="123" t="s">
        <v>1790</v>
      </c>
    </row>
    <row r="129" spans="2:11" ht="73.900000000000006" customHeight="1" x14ac:dyDescent="0.2">
      <c r="B129" s="2" t="str">
        <f t="shared" si="2"/>
        <v>Patricia Casado - Inversor Particular</v>
      </c>
      <c r="C129" s="4" t="s">
        <v>1071</v>
      </c>
      <c r="D129" s="4" t="s">
        <v>1791</v>
      </c>
      <c r="E129" s="5" t="s">
        <v>1072</v>
      </c>
      <c r="F129" s="6"/>
      <c r="G129" s="6"/>
      <c r="H129" s="6"/>
      <c r="I129" s="7" t="s">
        <v>1073</v>
      </c>
      <c r="J129" s="7" t="s">
        <v>1792</v>
      </c>
      <c r="K129" s="7" t="s">
        <v>1793</v>
      </c>
    </row>
    <row r="130" spans="2:11" ht="73.900000000000006" customHeight="1" x14ac:dyDescent="0.2">
      <c r="B130" s="2" t="str">
        <f t="shared" si="2"/>
        <v>Patricio Hunt - Inversor Particular</v>
      </c>
      <c r="C130" s="4" t="s">
        <v>1074</v>
      </c>
      <c r="D130" s="4" t="s">
        <v>1794</v>
      </c>
      <c r="E130" s="5" t="s">
        <v>1075</v>
      </c>
      <c r="F130" s="5" t="s">
        <v>1076</v>
      </c>
      <c r="G130" s="5" t="s">
        <v>1077</v>
      </c>
      <c r="H130" s="6"/>
      <c r="I130" s="7" t="s">
        <v>1078</v>
      </c>
      <c r="J130" s="7" t="s">
        <v>1795</v>
      </c>
      <c r="K130" s="7" t="s">
        <v>1796</v>
      </c>
    </row>
    <row r="131" spans="2:11" ht="73.900000000000006" customHeight="1" x14ac:dyDescent="0.2">
      <c r="B131" s="2" t="str">
        <f t="shared" si="2"/>
        <v>Pedro Antón - Inversor Particular</v>
      </c>
      <c r="C131" s="4" t="s">
        <v>1079</v>
      </c>
      <c r="D131" s="4" t="s">
        <v>1658</v>
      </c>
      <c r="E131" s="5" t="s">
        <v>1080</v>
      </c>
      <c r="F131" s="6"/>
      <c r="G131" s="6"/>
      <c r="H131" s="6"/>
      <c r="I131" s="7" t="s">
        <v>1081</v>
      </c>
      <c r="J131" s="7" t="s">
        <v>1797</v>
      </c>
      <c r="K131" s="7" t="s">
        <v>1798</v>
      </c>
    </row>
    <row r="132" spans="2:11" ht="73.900000000000006" customHeight="1" x14ac:dyDescent="0.2">
      <c r="B132" s="2" t="str">
        <f t="shared" si="2"/>
        <v>Pedro de Álava - Inversor Particular</v>
      </c>
      <c r="C132" s="4" t="s">
        <v>1082</v>
      </c>
      <c r="D132" s="4" t="s">
        <v>1799</v>
      </c>
      <c r="E132" s="5" t="s">
        <v>1083</v>
      </c>
      <c r="F132" s="6"/>
      <c r="G132" s="6"/>
      <c r="H132" s="6"/>
      <c r="I132" s="7" t="s">
        <v>1084</v>
      </c>
      <c r="J132" s="7" t="s">
        <v>1792</v>
      </c>
      <c r="K132" s="7" t="s">
        <v>1800</v>
      </c>
    </row>
    <row r="133" spans="2:11" ht="73.900000000000006" customHeight="1" x14ac:dyDescent="0.2">
      <c r="B133" s="2" t="str">
        <f t="shared" si="2"/>
        <v>Pedro Trucharte - Inversor Particular</v>
      </c>
      <c r="C133" s="4" t="s">
        <v>1085</v>
      </c>
      <c r="D133" s="4" t="s">
        <v>1801</v>
      </c>
      <c r="E133" s="5" t="s">
        <v>1086</v>
      </c>
      <c r="F133" s="5" t="s">
        <v>1087</v>
      </c>
      <c r="G133" s="5" t="s">
        <v>787</v>
      </c>
      <c r="H133" s="6"/>
      <c r="I133" s="7" t="s">
        <v>1088</v>
      </c>
      <c r="J133" s="7" t="s">
        <v>1792</v>
      </c>
      <c r="K133" s="7" t="s">
        <v>1802</v>
      </c>
    </row>
    <row r="134" spans="2:11" ht="73.900000000000006" customHeight="1" x14ac:dyDescent="0.2">
      <c r="B134" s="2" t="str">
        <f t="shared" si="2"/>
        <v>Pere Valles - Inversor Particular</v>
      </c>
      <c r="C134" s="4" t="s">
        <v>1089</v>
      </c>
      <c r="D134" s="4" t="s">
        <v>1803</v>
      </c>
      <c r="E134" s="5" t="s">
        <v>1090</v>
      </c>
      <c r="F134" s="6"/>
      <c r="G134" s="6"/>
      <c r="H134" s="6"/>
      <c r="I134" s="7" t="s">
        <v>1091</v>
      </c>
      <c r="J134" s="7" t="s">
        <v>1804</v>
      </c>
      <c r="K134" s="7" t="s">
        <v>1805</v>
      </c>
    </row>
    <row r="135" spans="2:11" ht="73.900000000000006" customHeight="1" x14ac:dyDescent="0.2">
      <c r="B135" s="2" t="str">
        <f t="shared" si="2"/>
        <v>Pinama - Inversor Particular</v>
      </c>
      <c r="C135" s="4" t="s">
        <v>1092</v>
      </c>
      <c r="D135" s="4" t="s">
        <v>1661</v>
      </c>
      <c r="E135" s="6"/>
      <c r="F135" s="6"/>
      <c r="G135" s="5" t="s">
        <v>1093</v>
      </c>
      <c r="H135" s="6"/>
      <c r="I135" s="7" t="s">
        <v>1094</v>
      </c>
      <c r="J135" s="7" t="s">
        <v>1806</v>
      </c>
      <c r="K135" s="7" t="s">
        <v>1807</v>
      </c>
    </row>
    <row r="136" spans="2:11" ht="73.900000000000006" customHeight="1" x14ac:dyDescent="0.2">
      <c r="B136" s="4" t="s">
        <v>1095</v>
      </c>
      <c r="C136" s="4" t="s">
        <v>1095</v>
      </c>
      <c r="D136" s="4" t="s">
        <v>1808</v>
      </c>
      <c r="E136" s="10"/>
      <c r="F136" s="6"/>
      <c r="G136" s="5" t="s">
        <v>1096</v>
      </c>
      <c r="H136" s="6"/>
      <c r="I136" s="7" t="s">
        <v>1097</v>
      </c>
      <c r="J136" s="7" t="s">
        <v>1809</v>
      </c>
      <c r="K136" s="7" t="s">
        <v>1810</v>
      </c>
    </row>
    <row r="137" spans="2:11" ht="73.900000000000006" customHeight="1" x14ac:dyDescent="0.2">
      <c r="B137" s="2" t="str">
        <f t="shared" ref="B136:B194" si="3">C137&amp;" - Inversor Particular"</f>
        <v>Rafael Garrido - Inversor Particular</v>
      </c>
      <c r="C137" s="4" t="s">
        <v>1098</v>
      </c>
      <c r="D137" s="4" t="s">
        <v>1658</v>
      </c>
      <c r="E137" s="5" t="s">
        <v>1099</v>
      </c>
      <c r="F137" s="5" t="s">
        <v>1100</v>
      </c>
      <c r="G137" s="5" t="s">
        <v>1101</v>
      </c>
      <c r="H137" s="6"/>
      <c r="I137" s="7" t="s">
        <v>1102</v>
      </c>
      <c r="J137" s="7" t="s">
        <v>1811</v>
      </c>
      <c r="K137" s="7" t="s">
        <v>1812</v>
      </c>
    </row>
    <row r="138" spans="2:11" ht="73.900000000000006" customHeight="1" x14ac:dyDescent="0.2">
      <c r="B138" s="2" t="str">
        <f t="shared" si="3"/>
        <v>Ramon Ollé - Inversor Particular</v>
      </c>
      <c r="C138" s="4" t="s">
        <v>1103</v>
      </c>
      <c r="D138" s="4" t="s">
        <v>1801</v>
      </c>
      <c r="E138" s="5" t="s">
        <v>1104</v>
      </c>
      <c r="F138" s="6"/>
      <c r="G138" s="6" t="s">
        <v>1105</v>
      </c>
      <c r="H138" s="6"/>
      <c r="I138" s="7" t="s">
        <v>1106</v>
      </c>
      <c r="J138" s="7" t="s">
        <v>1792</v>
      </c>
      <c r="K138" s="7" t="s">
        <v>1813</v>
      </c>
    </row>
    <row r="139" spans="2:11" ht="73.900000000000006" customHeight="1" x14ac:dyDescent="0.2">
      <c r="B139" s="2" t="str">
        <f t="shared" si="3"/>
        <v>Rat Gasol - Inversor Particular</v>
      </c>
      <c r="C139" s="4" t="s">
        <v>1107</v>
      </c>
      <c r="D139" s="4" t="s">
        <v>1801</v>
      </c>
      <c r="E139" s="5" t="s">
        <v>1108</v>
      </c>
      <c r="F139" s="6"/>
      <c r="G139" s="6"/>
      <c r="H139" s="6"/>
      <c r="I139" s="7" t="s">
        <v>1109</v>
      </c>
      <c r="J139" s="7" t="s">
        <v>1792</v>
      </c>
      <c r="K139" s="7" t="s">
        <v>1814</v>
      </c>
    </row>
    <row r="140" spans="2:11" ht="73.900000000000006" customHeight="1" x14ac:dyDescent="0.2">
      <c r="B140" s="2" t="str">
        <f t="shared" si="3"/>
        <v>Raúl B - Inversor Particular</v>
      </c>
      <c r="C140" s="4" t="s">
        <v>1110</v>
      </c>
      <c r="D140" s="4" t="s">
        <v>1658</v>
      </c>
      <c r="E140" s="5" t="s">
        <v>1111</v>
      </c>
      <c r="F140" s="6"/>
      <c r="G140" s="6"/>
      <c r="H140" s="6"/>
      <c r="I140" s="7"/>
      <c r="J140" s="7" t="s">
        <v>1792</v>
      </c>
      <c r="K140" s="7" t="s">
        <v>1815</v>
      </c>
    </row>
    <row r="141" spans="2:11" ht="73.900000000000006" customHeight="1" x14ac:dyDescent="0.2">
      <c r="B141" s="2" t="str">
        <f t="shared" si="3"/>
        <v>Rene de Jong - Inversor Particular</v>
      </c>
      <c r="C141" s="4" t="s">
        <v>1112</v>
      </c>
      <c r="D141" s="4" t="s">
        <v>1658</v>
      </c>
      <c r="E141" s="5" t="s">
        <v>1113</v>
      </c>
      <c r="F141" s="5" t="s">
        <v>1114</v>
      </c>
      <c r="G141" s="5" t="s">
        <v>1115</v>
      </c>
      <c r="H141" s="6"/>
      <c r="I141" s="7" t="s">
        <v>1116</v>
      </c>
      <c r="J141" s="7" t="s">
        <v>1767</v>
      </c>
      <c r="K141" s="7" t="s">
        <v>1816</v>
      </c>
    </row>
    <row r="142" spans="2:11" ht="73.900000000000006" customHeight="1" x14ac:dyDescent="0.2">
      <c r="B142" s="4" t="s">
        <v>1117</v>
      </c>
      <c r="C142" s="4" t="s">
        <v>1117</v>
      </c>
      <c r="D142" s="4" t="s">
        <v>1744</v>
      </c>
      <c r="E142" s="10"/>
      <c r="F142" s="6"/>
      <c r="G142" s="5" t="s">
        <v>1118</v>
      </c>
      <c r="H142" s="6"/>
      <c r="I142" s="7" t="s">
        <v>1119</v>
      </c>
      <c r="J142" s="7" t="s">
        <v>1817</v>
      </c>
      <c r="K142" s="7" t="s">
        <v>1818</v>
      </c>
    </row>
    <row r="143" spans="2:11" ht="73.900000000000006" customHeight="1" x14ac:dyDescent="0.2">
      <c r="B143" s="2" t="str">
        <f t="shared" si="3"/>
        <v>Ricardo Coscollola - Inversor Particular</v>
      </c>
      <c r="C143" s="4" t="s">
        <v>1120</v>
      </c>
      <c r="D143" s="4" t="s">
        <v>1803</v>
      </c>
      <c r="E143" s="5" t="s">
        <v>1121</v>
      </c>
      <c r="F143" s="6"/>
      <c r="G143" s="6"/>
      <c r="H143" s="6"/>
      <c r="I143" s="7" t="s">
        <v>1122</v>
      </c>
      <c r="J143" s="7" t="s">
        <v>1819</v>
      </c>
      <c r="K143" s="7" t="s">
        <v>1820</v>
      </c>
    </row>
    <row r="144" spans="2:11" ht="73.900000000000006" customHeight="1" x14ac:dyDescent="0.2">
      <c r="B144" s="2" t="str">
        <f t="shared" si="3"/>
        <v>Ricardo Fernández Muiños - Inversor Particular</v>
      </c>
      <c r="C144" s="4" t="s">
        <v>1123</v>
      </c>
      <c r="D144" s="4" t="s">
        <v>1803</v>
      </c>
      <c r="E144" s="5" t="s">
        <v>1124</v>
      </c>
      <c r="F144" s="6"/>
      <c r="G144" s="6"/>
      <c r="H144" s="6"/>
      <c r="I144" s="7" t="s">
        <v>1125</v>
      </c>
      <c r="J144" s="7" t="s">
        <v>1821</v>
      </c>
      <c r="K144" s="7" t="s">
        <v>1822</v>
      </c>
    </row>
    <row r="145" spans="2:11" ht="73.900000000000006" customHeight="1" x14ac:dyDescent="0.2">
      <c r="B145" s="2" t="str">
        <f t="shared" si="3"/>
        <v>Roberto Saint-Malo - Inversor Particular</v>
      </c>
      <c r="C145" s="4" t="s">
        <v>1126</v>
      </c>
      <c r="D145" s="4" t="s">
        <v>1639</v>
      </c>
      <c r="E145" s="5" t="s">
        <v>1127</v>
      </c>
      <c r="F145" s="6"/>
      <c r="G145" s="5" t="s">
        <v>1128</v>
      </c>
      <c r="H145" s="6"/>
      <c r="I145" s="7" t="s">
        <v>1129</v>
      </c>
      <c r="J145" s="7" t="s">
        <v>1823</v>
      </c>
      <c r="K145" s="7" t="s">
        <v>1824</v>
      </c>
    </row>
    <row r="146" spans="2:11" ht="73.900000000000006" customHeight="1" x14ac:dyDescent="0.2">
      <c r="B146" s="2" t="str">
        <f t="shared" si="3"/>
        <v>Rodolfo Carpintier - Inversor Particular</v>
      </c>
      <c r="C146" s="4" t="s">
        <v>1130</v>
      </c>
      <c r="D146" s="4" t="s">
        <v>1639</v>
      </c>
      <c r="E146" s="5" t="s">
        <v>1131</v>
      </c>
      <c r="F146" s="6"/>
      <c r="G146" s="6"/>
      <c r="H146" s="6"/>
      <c r="I146" s="7" t="s">
        <v>1132</v>
      </c>
      <c r="J146" s="7" t="s">
        <v>1792</v>
      </c>
      <c r="K146" s="7" t="s">
        <v>1825</v>
      </c>
    </row>
    <row r="147" spans="2:11" ht="73.900000000000006" customHeight="1" x14ac:dyDescent="0.2">
      <c r="B147" s="2" t="str">
        <f t="shared" si="3"/>
        <v>Rodrigo García de la Cruz - Inversor Particular</v>
      </c>
      <c r="C147" s="4" t="s">
        <v>1133</v>
      </c>
      <c r="D147" s="4" t="s">
        <v>1658</v>
      </c>
      <c r="E147" s="5" t="s">
        <v>1134</v>
      </c>
      <c r="F147" s="5" t="s">
        <v>1135</v>
      </c>
      <c r="G147" s="6"/>
      <c r="H147" s="6"/>
      <c r="I147" s="7" t="s">
        <v>1136</v>
      </c>
      <c r="J147" s="7" t="s">
        <v>841</v>
      </c>
      <c r="K147" s="7" t="s">
        <v>1826</v>
      </c>
    </row>
    <row r="148" spans="2:11" ht="73.900000000000006" customHeight="1" x14ac:dyDescent="0.2">
      <c r="B148" s="2" t="str">
        <f t="shared" si="3"/>
        <v>Rodrigo Silva-Ramos - Inversor Particular</v>
      </c>
      <c r="C148" s="4" t="s">
        <v>1137</v>
      </c>
      <c r="D148" s="4" t="s">
        <v>1794</v>
      </c>
      <c r="E148" s="5" t="s">
        <v>1138</v>
      </c>
      <c r="F148" s="6"/>
      <c r="G148" s="6"/>
      <c r="H148" s="6"/>
      <c r="I148" s="7" t="s">
        <v>1139</v>
      </c>
      <c r="J148" s="7" t="s">
        <v>1827</v>
      </c>
      <c r="K148" s="7" t="s">
        <v>1828</v>
      </c>
    </row>
    <row r="149" spans="2:11" ht="73.900000000000006" customHeight="1" x14ac:dyDescent="0.2">
      <c r="B149" s="2" t="str">
        <f t="shared" si="3"/>
        <v>Rogelio Villalba García - Inversor Particular</v>
      </c>
      <c r="C149" s="4" t="s">
        <v>1140</v>
      </c>
      <c r="D149" s="4" t="s">
        <v>1658</v>
      </c>
      <c r="E149" s="5" t="s">
        <v>1141</v>
      </c>
      <c r="F149" s="6"/>
      <c r="G149" s="6"/>
      <c r="H149" s="6"/>
      <c r="I149" s="7" t="s">
        <v>1142</v>
      </c>
      <c r="J149" s="7" t="s">
        <v>1829</v>
      </c>
      <c r="K149" s="7" t="s">
        <v>1830</v>
      </c>
    </row>
    <row r="150" spans="2:11" ht="73.900000000000006" customHeight="1" x14ac:dyDescent="0.2">
      <c r="B150" s="2" t="str">
        <f t="shared" si="3"/>
        <v>Roger Baranera - Inversor Particular</v>
      </c>
      <c r="C150" s="4" t="s">
        <v>1143</v>
      </c>
      <c r="D150" s="4" t="s">
        <v>1658</v>
      </c>
      <c r="E150" s="5" t="s">
        <v>1144</v>
      </c>
      <c r="F150" s="5" t="s">
        <v>1145</v>
      </c>
      <c r="G150" s="6"/>
      <c r="H150" s="6"/>
      <c r="I150" s="7" t="s">
        <v>1146</v>
      </c>
      <c r="J150" s="7" t="s">
        <v>1831</v>
      </c>
      <c r="K150" s="7" t="s">
        <v>1832</v>
      </c>
    </row>
    <row r="151" spans="2:11" ht="73.900000000000006" customHeight="1" x14ac:dyDescent="0.2">
      <c r="B151" s="2" t="str">
        <f t="shared" si="3"/>
        <v>Roger Miralles - Inversor Particular</v>
      </c>
      <c r="C151" s="4" t="s">
        <v>1147</v>
      </c>
      <c r="D151" s="4" t="s">
        <v>1658</v>
      </c>
      <c r="E151" s="5" t="s">
        <v>1148</v>
      </c>
      <c r="F151" s="6"/>
      <c r="G151" s="6"/>
      <c r="H151" s="6"/>
      <c r="I151" s="7"/>
      <c r="J151" s="7" t="s">
        <v>1792</v>
      </c>
      <c r="K151" s="7" t="s">
        <v>1833</v>
      </c>
    </row>
    <row r="152" spans="2:11" ht="73.900000000000006" customHeight="1" x14ac:dyDescent="0.2">
      <c r="B152" s="2" t="str">
        <f t="shared" si="3"/>
        <v>Roman Bertran Viñas - Inversor Particular</v>
      </c>
      <c r="C152" s="4" t="s">
        <v>1149</v>
      </c>
      <c r="D152" s="4" t="s">
        <v>1658</v>
      </c>
      <c r="E152" s="5" t="s">
        <v>1150</v>
      </c>
      <c r="F152" s="6"/>
      <c r="G152" s="6"/>
      <c r="H152" s="6"/>
      <c r="I152" s="7" t="s">
        <v>1151</v>
      </c>
      <c r="J152" s="7" t="s">
        <v>1792</v>
      </c>
      <c r="K152" s="7" t="s">
        <v>1834</v>
      </c>
    </row>
    <row r="153" spans="2:11" ht="73.900000000000006" customHeight="1" x14ac:dyDescent="0.2">
      <c r="B153" s="2" t="str">
        <f t="shared" si="3"/>
        <v>Rubén Ferreiro - Inversor Particular</v>
      </c>
      <c r="C153" s="4" t="s">
        <v>1152</v>
      </c>
      <c r="D153" s="4" t="s">
        <v>1773</v>
      </c>
      <c r="E153" s="5" t="s">
        <v>1153</v>
      </c>
      <c r="F153" s="5" t="s">
        <v>1154</v>
      </c>
      <c r="G153" s="6"/>
      <c r="H153" s="6"/>
      <c r="I153" s="7" t="s">
        <v>1155</v>
      </c>
      <c r="J153" s="7" t="s">
        <v>1835</v>
      </c>
      <c r="K153" s="7" t="s">
        <v>1836</v>
      </c>
    </row>
    <row r="154" spans="2:11" ht="73.900000000000006" customHeight="1" x14ac:dyDescent="0.2">
      <c r="B154" s="2" t="str">
        <f t="shared" si="3"/>
        <v>Sabadell Venture Capital - Inversor Particular</v>
      </c>
      <c r="C154" s="4" t="s">
        <v>1156</v>
      </c>
      <c r="D154" s="4" t="s">
        <v>1744</v>
      </c>
      <c r="E154" s="10"/>
      <c r="F154" s="6"/>
      <c r="G154" s="5" t="s">
        <v>1157</v>
      </c>
      <c r="H154" s="6"/>
      <c r="I154" s="7"/>
      <c r="J154" s="7" t="s">
        <v>1809</v>
      </c>
      <c r="K154" s="7" t="s">
        <v>1837</v>
      </c>
    </row>
    <row r="155" spans="2:11" ht="73.900000000000006" customHeight="1" x14ac:dyDescent="0.2">
      <c r="B155" s="2" t="str">
        <f t="shared" si="3"/>
        <v>Sacha Fuentes - Inversor Particular</v>
      </c>
      <c r="C155" s="4" t="s">
        <v>1158</v>
      </c>
      <c r="D155" s="4" t="s">
        <v>1639</v>
      </c>
      <c r="E155" s="5" t="s">
        <v>1159</v>
      </c>
      <c r="F155" s="6"/>
      <c r="G155" s="6"/>
      <c r="H155" s="6"/>
      <c r="I155" s="7" t="s">
        <v>1160</v>
      </c>
      <c r="J155" s="7" t="s">
        <v>1838</v>
      </c>
      <c r="K155" s="7" t="s">
        <v>1839</v>
      </c>
    </row>
    <row r="156" spans="2:11" ht="73.900000000000006" customHeight="1" x14ac:dyDescent="0.2">
      <c r="B156" s="2" t="str">
        <f t="shared" si="3"/>
        <v>Sandra Navarri - Inversor Particular</v>
      </c>
      <c r="C156" s="4" t="s">
        <v>1161</v>
      </c>
      <c r="D156" s="4" t="s">
        <v>1658</v>
      </c>
      <c r="E156" s="5" t="s">
        <v>1162</v>
      </c>
      <c r="F156" s="6"/>
      <c r="G156" s="6"/>
      <c r="H156" s="6"/>
      <c r="I156" s="7" t="s">
        <v>1163</v>
      </c>
      <c r="J156" s="7" t="s">
        <v>1840</v>
      </c>
      <c r="K156" s="7" t="s">
        <v>1841</v>
      </c>
    </row>
    <row r="157" spans="2:11" ht="73.900000000000006" customHeight="1" x14ac:dyDescent="0.2">
      <c r="B157" s="2" t="str">
        <f t="shared" si="3"/>
        <v>Santiago Bernal Piñeiro - Inversor Particular</v>
      </c>
      <c r="C157" s="4" t="s">
        <v>1164</v>
      </c>
      <c r="D157" s="4" t="s">
        <v>1658</v>
      </c>
      <c r="E157" s="5" t="s">
        <v>1165</v>
      </c>
      <c r="F157" s="6"/>
      <c r="G157" s="6"/>
      <c r="H157" s="6"/>
      <c r="I157" s="7" t="s">
        <v>1166</v>
      </c>
      <c r="J157" s="7" t="s">
        <v>1842</v>
      </c>
      <c r="K157" s="7" t="s">
        <v>1843</v>
      </c>
    </row>
    <row r="158" spans="2:11" ht="73.900000000000006" customHeight="1" x14ac:dyDescent="0.2">
      <c r="B158" s="2" t="str">
        <f t="shared" si="3"/>
        <v>Sebastien Chartier - Inversor Particular</v>
      </c>
      <c r="C158" s="4" t="s">
        <v>1167</v>
      </c>
      <c r="D158" s="4" t="s">
        <v>1658</v>
      </c>
      <c r="E158" s="5" t="s">
        <v>1168</v>
      </c>
      <c r="F158" s="6"/>
      <c r="G158" s="5" t="s">
        <v>1169</v>
      </c>
      <c r="H158" s="6"/>
      <c r="I158" s="7"/>
      <c r="J158" s="7" t="s">
        <v>1792</v>
      </c>
      <c r="K158" s="7" t="s">
        <v>1844</v>
      </c>
    </row>
    <row r="159" spans="2:11" ht="73.900000000000006" customHeight="1" x14ac:dyDescent="0.2">
      <c r="B159" s="2" t="str">
        <f t="shared" si="3"/>
        <v>Sergi Vila - Inversor Particular</v>
      </c>
      <c r="C159" s="4" t="s">
        <v>1170</v>
      </c>
      <c r="D159" s="4" t="s">
        <v>1773</v>
      </c>
      <c r="E159" s="5" t="s">
        <v>1171</v>
      </c>
      <c r="F159" s="6"/>
      <c r="G159" s="5" t="s">
        <v>1172</v>
      </c>
      <c r="H159" s="6"/>
      <c r="I159" s="7" t="s">
        <v>1173</v>
      </c>
      <c r="J159" s="7" t="s">
        <v>1173</v>
      </c>
      <c r="K159" s="7" t="s">
        <v>1845</v>
      </c>
    </row>
    <row r="160" spans="2:11" ht="73.900000000000006" customHeight="1" x14ac:dyDescent="0.2">
      <c r="B160" s="2" t="str">
        <f t="shared" si="3"/>
        <v>Sergio Balcells - Inversor Particular</v>
      </c>
      <c r="C160" s="4" t="s">
        <v>1174</v>
      </c>
      <c r="D160" s="4" t="s">
        <v>1846</v>
      </c>
      <c r="E160" s="5" t="s">
        <v>1175</v>
      </c>
      <c r="F160" s="6"/>
      <c r="G160" s="6"/>
      <c r="H160" s="6"/>
      <c r="I160" s="7" t="s">
        <v>1176</v>
      </c>
      <c r="J160" s="7" t="s">
        <v>1792</v>
      </c>
      <c r="K160" s="7" t="s">
        <v>1847</v>
      </c>
    </row>
    <row r="161" spans="2:11" ht="73.900000000000006" customHeight="1" x14ac:dyDescent="0.2">
      <c r="B161" s="2" t="str">
        <f t="shared" si="3"/>
        <v>Sergio Cortes Abad - Inversor Particular</v>
      </c>
      <c r="C161" s="4" t="s">
        <v>1177</v>
      </c>
      <c r="D161" s="4" t="s">
        <v>1773</v>
      </c>
      <c r="E161" s="5" t="s">
        <v>1178</v>
      </c>
      <c r="F161" s="5" t="s">
        <v>1179</v>
      </c>
      <c r="G161" s="5" t="s">
        <v>1180</v>
      </c>
      <c r="H161" s="6"/>
      <c r="I161" s="7" t="s">
        <v>1181</v>
      </c>
      <c r="J161" s="7" t="s">
        <v>1848</v>
      </c>
      <c r="K161" s="7" t="s">
        <v>1849</v>
      </c>
    </row>
    <row r="162" spans="2:11" ht="73.900000000000006" customHeight="1" x14ac:dyDescent="0.2">
      <c r="B162" s="4" t="s">
        <v>1182</v>
      </c>
      <c r="C162" s="4" t="s">
        <v>1182</v>
      </c>
      <c r="D162" s="4" t="s">
        <v>1744</v>
      </c>
      <c r="E162" s="10"/>
      <c r="F162" s="6"/>
      <c r="G162" s="5" t="s">
        <v>1183</v>
      </c>
      <c r="H162" s="6"/>
      <c r="I162" s="7" t="s">
        <v>1184</v>
      </c>
      <c r="J162" s="7" t="s">
        <v>1850</v>
      </c>
      <c r="K162" s="7" t="s">
        <v>1851</v>
      </c>
    </row>
    <row r="163" spans="2:11" ht="73.900000000000006" customHeight="1" x14ac:dyDescent="0.2">
      <c r="B163" s="2" t="str">
        <f t="shared" si="3"/>
        <v>Silvia Carné - Inversor Particular</v>
      </c>
      <c r="C163" s="4" t="s">
        <v>1185</v>
      </c>
      <c r="D163" s="4" t="s">
        <v>1852</v>
      </c>
      <c r="E163" s="9" t="s">
        <v>1186</v>
      </c>
      <c r="F163" s="6"/>
      <c r="G163" s="6"/>
      <c r="H163" s="6"/>
      <c r="I163" s="7" t="s">
        <v>1187</v>
      </c>
      <c r="J163" s="7" t="s">
        <v>1853</v>
      </c>
      <c r="K163" s="7" t="s">
        <v>1854</v>
      </c>
    </row>
    <row r="164" spans="2:11" ht="73.900000000000006" customHeight="1" x14ac:dyDescent="0.2">
      <c r="B164" s="4" t="s">
        <v>1188</v>
      </c>
      <c r="C164" s="4" t="s">
        <v>1188</v>
      </c>
      <c r="D164" s="4" t="s">
        <v>1855</v>
      </c>
      <c r="E164" s="6"/>
      <c r="F164" s="6"/>
      <c r="G164" s="5" t="s">
        <v>1189</v>
      </c>
      <c r="H164" s="6"/>
      <c r="I164" s="7" t="s">
        <v>1190</v>
      </c>
      <c r="J164" s="7" t="s">
        <v>1817</v>
      </c>
      <c r="K164" s="7" t="s">
        <v>1856</v>
      </c>
    </row>
    <row r="165" spans="2:11" ht="73.900000000000006" customHeight="1" x14ac:dyDescent="0.2">
      <c r="B165" s="2" t="str">
        <f t="shared" si="3"/>
        <v>Sixto Arias - Inversor Particular</v>
      </c>
      <c r="C165" s="4" t="s">
        <v>1191</v>
      </c>
      <c r="D165" s="4" t="s">
        <v>1658</v>
      </c>
      <c r="E165" s="5" t="s">
        <v>1192</v>
      </c>
      <c r="F165" s="5" t="s">
        <v>1193</v>
      </c>
      <c r="G165" s="6"/>
      <c r="H165" s="6"/>
      <c r="I165" s="7" t="s">
        <v>1194</v>
      </c>
      <c r="J165" s="7" t="s">
        <v>1857</v>
      </c>
      <c r="K165" s="7" t="s">
        <v>1858</v>
      </c>
    </row>
    <row r="166" spans="2:11" ht="73.900000000000006" customHeight="1" x14ac:dyDescent="0.2">
      <c r="B166" s="4" t="s">
        <v>1195</v>
      </c>
      <c r="C166" s="4" t="s">
        <v>1195</v>
      </c>
      <c r="D166" s="4" t="s">
        <v>1744</v>
      </c>
      <c r="E166" s="10"/>
      <c r="F166" s="6"/>
      <c r="G166" s="5" t="s">
        <v>1196</v>
      </c>
      <c r="H166" s="6"/>
      <c r="I166" s="7" t="s">
        <v>1197</v>
      </c>
      <c r="J166" s="7" t="s">
        <v>1859</v>
      </c>
      <c r="K166" s="7" t="s">
        <v>1860</v>
      </c>
    </row>
    <row r="167" spans="2:11" ht="73.900000000000006" customHeight="1" x14ac:dyDescent="0.2">
      <c r="B167" s="4" t="s">
        <v>1198</v>
      </c>
      <c r="C167" s="4" t="s">
        <v>1198</v>
      </c>
      <c r="D167" s="4" t="s">
        <v>1861</v>
      </c>
      <c r="E167" s="5"/>
      <c r="F167" s="6" t="s">
        <v>1199</v>
      </c>
      <c r="G167" s="6" t="s">
        <v>1200</v>
      </c>
      <c r="H167" s="6"/>
      <c r="I167" s="7" t="s">
        <v>1201</v>
      </c>
      <c r="J167" s="7" t="s">
        <v>1862</v>
      </c>
      <c r="K167" s="7" t="s">
        <v>1863</v>
      </c>
    </row>
    <row r="168" spans="2:11" ht="73.900000000000006" customHeight="1" x14ac:dyDescent="0.2">
      <c r="B168" s="2" t="str">
        <f t="shared" si="3"/>
        <v>Steven Zitzer - Inversor Particular</v>
      </c>
      <c r="C168" s="4" t="s">
        <v>1202</v>
      </c>
      <c r="D168" s="4" t="s">
        <v>1864</v>
      </c>
      <c r="E168" s="5" t="s">
        <v>1203</v>
      </c>
      <c r="F168" s="6"/>
      <c r="G168" s="6"/>
      <c r="H168" s="6"/>
      <c r="I168" s="7" t="s">
        <v>1204</v>
      </c>
      <c r="J168" s="7" t="s">
        <v>1865</v>
      </c>
      <c r="K168" s="7" t="s">
        <v>1866</v>
      </c>
    </row>
    <row r="169" spans="2:11" ht="73.900000000000006" customHeight="1" x14ac:dyDescent="0.2">
      <c r="B169" s="2" t="str">
        <f t="shared" si="3"/>
        <v>Swaan Lab - Inversor Particular</v>
      </c>
      <c r="C169" s="4" t="s">
        <v>1205</v>
      </c>
      <c r="D169" s="4" t="s">
        <v>1744</v>
      </c>
      <c r="E169" s="10"/>
      <c r="F169" s="6"/>
      <c r="G169" s="5" t="s">
        <v>1206</v>
      </c>
      <c r="H169" s="6"/>
      <c r="I169" s="7" t="s">
        <v>1207</v>
      </c>
      <c r="J169" s="7" t="s">
        <v>1867</v>
      </c>
      <c r="K169" s="7" t="s">
        <v>1868</v>
      </c>
    </row>
    <row r="170" spans="2:11" ht="73.900000000000006" customHeight="1" x14ac:dyDescent="0.2">
      <c r="B170" s="2" t="str">
        <f t="shared" si="3"/>
        <v>Telmo Pérez Luaces - Inversor Particular</v>
      </c>
      <c r="C170" s="4" t="s">
        <v>1208</v>
      </c>
      <c r="D170" s="4" t="s">
        <v>1801</v>
      </c>
      <c r="E170" s="9" t="s">
        <v>1209</v>
      </c>
      <c r="F170" s="6"/>
      <c r="G170" s="6"/>
      <c r="H170" s="6"/>
      <c r="I170" s="7" t="s">
        <v>1210</v>
      </c>
      <c r="J170" s="7" t="s">
        <v>823</v>
      </c>
      <c r="K170" s="7" t="s">
        <v>1869</v>
      </c>
    </row>
    <row r="171" spans="2:11" ht="73.900000000000006" customHeight="1" x14ac:dyDescent="0.2">
      <c r="B171" s="2" t="str">
        <f t="shared" si="3"/>
        <v>Teresa Dominguez - Inversor Particular</v>
      </c>
      <c r="C171" s="4" t="s">
        <v>1211</v>
      </c>
      <c r="D171" s="4" t="s">
        <v>1658</v>
      </c>
      <c r="E171" s="5" t="s">
        <v>1212</v>
      </c>
      <c r="F171" s="6"/>
      <c r="G171" s="6"/>
      <c r="H171" s="6"/>
      <c r="I171" s="7" t="s">
        <v>1213</v>
      </c>
      <c r="J171" s="7" t="s">
        <v>1842</v>
      </c>
      <c r="K171" s="7" t="s">
        <v>1870</v>
      </c>
    </row>
    <row r="172" spans="2:11" ht="73.900000000000006" customHeight="1" x14ac:dyDescent="0.2">
      <c r="B172" s="4" t="s">
        <v>1214</v>
      </c>
      <c r="C172" s="4" t="s">
        <v>1214</v>
      </c>
      <c r="D172" s="4" t="s">
        <v>1744</v>
      </c>
      <c r="E172" s="6"/>
      <c r="F172" s="6"/>
      <c r="G172" s="5" t="s">
        <v>1215</v>
      </c>
      <c r="H172" s="6"/>
      <c r="I172" s="7" t="s">
        <v>1216</v>
      </c>
      <c r="J172" s="7" t="s">
        <v>1871</v>
      </c>
      <c r="K172" s="7" t="s">
        <v>1872</v>
      </c>
    </row>
    <row r="173" spans="2:11" ht="73.900000000000006" customHeight="1" x14ac:dyDescent="0.2">
      <c r="B173" s="4" t="s">
        <v>1217</v>
      </c>
      <c r="C173" s="4" t="s">
        <v>1217</v>
      </c>
      <c r="D173" s="4" t="s">
        <v>1873</v>
      </c>
      <c r="E173" s="10"/>
      <c r="F173" s="6"/>
      <c r="G173" s="5" t="s">
        <v>1218</v>
      </c>
      <c r="H173" s="6"/>
      <c r="I173" s="7" t="s">
        <v>1219</v>
      </c>
      <c r="J173" s="7" t="s">
        <v>1874</v>
      </c>
      <c r="K173" s="7" t="s">
        <v>1875</v>
      </c>
    </row>
    <row r="174" spans="2:11" ht="73.900000000000006" customHeight="1" x14ac:dyDescent="0.2">
      <c r="B174" s="2" t="str">
        <f t="shared" si="3"/>
        <v>Tom Horsey - Inversor Particular</v>
      </c>
      <c r="C174" s="4" t="s">
        <v>1220</v>
      </c>
      <c r="D174" s="4" t="s">
        <v>1658</v>
      </c>
      <c r="E174" s="5" t="s">
        <v>1221</v>
      </c>
      <c r="F174" s="6"/>
      <c r="G174" s="12" t="s">
        <v>1222</v>
      </c>
      <c r="H174" s="13"/>
      <c r="I174" s="7" t="s">
        <v>1223</v>
      </c>
      <c r="J174" s="7" t="s">
        <v>1876</v>
      </c>
      <c r="K174" s="7" t="s">
        <v>1877</v>
      </c>
    </row>
    <row r="175" spans="2:11" ht="73.900000000000006" customHeight="1" x14ac:dyDescent="0.2">
      <c r="B175" s="2" t="str">
        <f t="shared" si="3"/>
        <v>Tomás Diago - Inversor Particular</v>
      </c>
      <c r="C175" s="4" t="s">
        <v>1224</v>
      </c>
      <c r="D175" s="4" t="s">
        <v>1658</v>
      </c>
      <c r="E175" s="5" t="s">
        <v>1225</v>
      </c>
      <c r="F175" s="5" t="s">
        <v>1226</v>
      </c>
      <c r="G175" s="6"/>
      <c r="H175" s="6"/>
      <c r="I175" s="7" t="s">
        <v>1227</v>
      </c>
      <c r="J175" s="7" t="s">
        <v>1774</v>
      </c>
      <c r="K175" s="7" t="s">
        <v>1878</v>
      </c>
    </row>
    <row r="176" spans="2:11" ht="73.900000000000006" customHeight="1" x14ac:dyDescent="0.2">
      <c r="B176" s="2" t="str">
        <f t="shared" si="3"/>
        <v>Tomás Guillén - Inversor Particular</v>
      </c>
      <c r="C176" s="4" t="s">
        <v>1228</v>
      </c>
      <c r="D176" s="4" t="s">
        <v>1658</v>
      </c>
      <c r="E176" s="5" t="s">
        <v>1229</v>
      </c>
      <c r="F176" s="5" t="s">
        <v>1230</v>
      </c>
      <c r="G176" s="6"/>
      <c r="H176" s="6"/>
      <c r="I176" s="7" t="s">
        <v>1231</v>
      </c>
      <c r="J176" s="7" t="s">
        <v>1792</v>
      </c>
      <c r="K176" s="7" t="s">
        <v>1879</v>
      </c>
    </row>
    <row r="177" spans="2:11" ht="73.900000000000006" customHeight="1" x14ac:dyDescent="0.2">
      <c r="B177" s="2" t="str">
        <f t="shared" si="3"/>
        <v>Tomás Mendo Huete - Inversor Particular</v>
      </c>
      <c r="C177" s="4" t="s">
        <v>1232</v>
      </c>
      <c r="D177" s="4" t="s">
        <v>1658</v>
      </c>
      <c r="E177" s="5" t="s">
        <v>1233</v>
      </c>
      <c r="F177" s="6"/>
      <c r="G177" s="6"/>
      <c r="H177" s="6"/>
      <c r="I177" s="7"/>
      <c r="J177" s="7" t="s">
        <v>1792</v>
      </c>
      <c r="K177" s="7" t="s">
        <v>1880</v>
      </c>
    </row>
    <row r="178" spans="2:11" ht="73.900000000000006" customHeight="1" x14ac:dyDescent="0.2">
      <c r="B178" s="4" t="s">
        <v>1234</v>
      </c>
      <c r="C178" s="4" t="s">
        <v>1234</v>
      </c>
      <c r="D178" s="4" t="s">
        <v>1881</v>
      </c>
      <c r="E178" s="10"/>
      <c r="F178" s="6"/>
      <c r="G178" s="5" t="s">
        <v>1235</v>
      </c>
      <c r="H178" s="6"/>
      <c r="I178" s="7" t="s">
        <v>1236</v>
      </c>
      <c r="J178" s="7" t="s">
        <v>1882</v>
      </c>
      <c r="K178" s="7" t="s">
        <v>1883</v>
      </c>
    </row>
    <row r="179" spans="2:11" ht="73.900000000000006" customHeight="1" x14ac:dyDescent="0.2">
      <c r="B179" s="4" t="s">
        <v>1237</v>
      </c>
      <c r="C179" s="4" t="s">
        <v>1237</v>
      </c>
      <c r="D179" s="4" t="s">
        <v>1744</v>
      </c>
      <c r="E179" s="6"/>
      <c r="F179" s="6"/>
      <c r="G179" s="5" t="s">
        <v>1238</v>
      </c>
      <c r="H179" s="6"/>
      <c r="I179" s="7"/>
      <c r="J179" s="7" t="s">
        <v>1792</v>
      </c>
      <c r="K179" s="7" t="s">
        <v>1749</v>
      </c>
    </row>
    <row r="180" spans="2:11" ht="73.900000000000006" customHeight="1" x14ac:dyDescent="0.2">
      <c r="B180" s="4" t="s">
        <v>1239</v>
      </c>
      <c r="C180" s="4" t="s">
        <v>1239</v>
      </c>
      <c r="D180" s="4" t="s">
        <v>1744</v>
      </c>
      <c r="E180" s="10"/>
      <c r="F180" s="6"/>
      <c r="G180" s="5" t="s">
        <v>1240</v>
      </c>
      <c r="H180" s="6"/>
      <c r="I180" s="7" t="s">
        <v>1241</v>
      </c>
      <c r="J180" s="7" t="s">
        <v>1884</v>
      </c>
      <c r="K180" s="7" t="s">
        <v>1885</v>
      </c>
    </row>
    <row r="181" spans="2:11" s="113" customFormat="1" ht="73.900000000000006" customHeight="1" x14ac:dyDescent="0.2">
      <c r="B181" s="114" t="s">
        <v>1242</v>
      </c>
      <c r="C181" s="114" t="s">
        <v>1242</v>
      </c>
      <c r="D181" s="114" t="s">
        <v>1744</v>
      </c>
      <c r="E181" s="119"/>
      <c r="F181" s="116"/>
      <c r="G181" s="115" t="s">
        <v>1243</v>
      </c>
      <c r="H181" s="116"/>
      <c r="I181" s="118" t="s">
        <v>1244</v>
      </c>
      <c r="J181" s="118" t="s">
        <v>1909</v>
      </c>
      <c r="K181" s="118" t="s">
        <v>1886</v>
      </c>
    </row>
    <row r="182" spans="2:11" ht="73.900000000000006" customHeight="1" x14ac:dyDescent="0.2">
      <c r="B182" s="4" t="s">
        <v>1245</v>
      </c>
      <c r="C182" s="4" t="s">
        <v>1245</v>
      </c>
      <c r="D182" s="4" t="s">
        <v>1887</v>
      </c>
      <c r="E182" s="5" t="s">
        <v>1246</v>
      </c>
      <c r="F182" s="6" t="s">
        <v>1247</v>
      </c>
      <c r="G182" s="6" t="s">
        <v>1248</v>
      </c>
      <c r="H182" s="6" t="s">
        <v>1249</v>
      </c>
      <c r="I182" s="7" t="s">
        <v>1250</v>
      </c>
      <c r="J182" s="7" t="s">
        <v>1888</v>
      </c>
      <c r="K182" s="7" t="s">
        <v>1889</v>
      </c>
    </row>
    <row r="183" spans="2:11" ht="73.900000000000006" customHeight="1" x14ac:dyDescent="0.2">
      <c r="B183" s="2" t="str">
        <f t="shared" si="3"/>
        <v>Vicente Arias - Inversor Particular</v>
      </c>
      <c r="C183" s="4" t="s">
        <v>1251</v>
      </c>
      <c r="D183" s="4" t="s">
        <v>1766</v>
      </c>
      <c r="E183" s="5" t="s">
        <v>1252</v>
      </c>
      <c r="F183" s="5" t="s">
        <v>1253</v>
      </c>
      <c r="G183" s="6"/>
      <c r="H183" s="6"/>
      <c r="I183" s="7" t="s">
        <v>1254</v>
      </c>
      <c r="J183" s="7" t="s">
        <v>1792</v>
      </c>
      <c r="K183" s="7" t="s">
        <v>1890</v>
      </c>
    </row>
    <row r="184" spans="2:11" ht="73.900000000000006" customHeight="1" x14ac:dyDescent="0.2">
      <c r="B184" s="2" t="str">
        <f t="shared" si="3"/>
        <v>Vicente Montesinos - Inversor Particular</v>
      </c>
      <c r="C184" s="4" t="s">
        <v>1255</v>
      </c>
      <c r="D184" s="4" t="s">
        <v>1658</v>
      </c>
      <c r="E184" s="5" t="s">
        <v>1256</v>
      </c>
      <c r="F184" s="6"/>
      <c r="G184" s="6"/>
      <c r="H184" s="6"/>
      <c r="I184" s="7" t="s">
        <v>1257</v>
      </c>
      <c r="J184" s="7" t="s">
        <v>1891</v>
      </c>
      <c r="K184" s="7" t="s">
        <v>1892</v>
      </c>
    </row>
    <row r="185" spans="2:11" ht="73.900000000000006" customHeight="1" x14ac:dyDescent="0.2">
      <c r="B185" s="2" t="str">
        <f t="shared" si="3"/>
        <v>Victoria Majadas Morales - Inversor Particular</v>
      </c>
      <c r="C185" s="4" t="s">
        <v>1258</v>
      </c>
      <c r="D185" s="4" t="s">
        <v>1658</v>
      </c>
      <c r="E185" s="5" t="s">
        <v>1259</v>
      </c>
      <c r="F185" s="6"/>
      <c r="G185" s="6"/>
      <c r="H185" s="6"/>
      <c r="I185" s="7" t="s">
        <v>1260</v>
      </c>
      <c r="J185" s="7" t="s">
        <v>1792</v>
      </c>
      <c r="K185" s="7" t="s">
        <v>1893</v>
      </c>
    </row>
    <row r="186" spans="2:11" ht="73.900000000000006" customHeight="1" x14ac:dyDescent="0.2">
      <c r="B186" s="2" t="str">
        <f t="shared" si="3"/>
        <v>Vincent Klug - Inversor Particular</v>
      </c>
      <c r="C186" s="4" t="s">
        <v>1261</v>
      </c>
      <c r="D186" s="4" t="s">
        <v>1658</v>
      </c>
      <c r="E186" s="5" t="s">
        <v>1262</v>
      </c>
      <c r="F186" s="6"/>
      <c r="G186" s="6"/>
      <c r="H186" s="6"/>
      <c r="I186" s="7"/>
      <c r="J186" s="7" t="s">
        <v>1792</v>
      </c>
      <c r="K186" s="7" t="s">
        <v>1765</v>
      </c>
    </row>
    <row r="187" spans="2:11" s="113" customFormat="1" ht="73.900000000000006" customHeight="1" x14ac:dyDescent="0.2">
      <c r="B187" s="2" t="str">
        <f t="shared" si="3"/>
        <v>Vincent Rosso - Inversor Particular</v>
      </c>
      <c r="C187" s="114" t="s">
        <v>1263</v>
      </c>
      <c r="D187" s="114" t="s">
        <v>1706</v>
      </c>
      <c r="E187" s="115" t="s">
        <v>1264</v>
      </c>
      <c r="F187" s="115" t="s">
        <v>1265</v>
      </c>
      <c r="G187" s="116"/>
      <c r="H187" s="116"/>
      <c r="I187" s="118" t="s">
        <v>1266</v>
      </c>
      <c r="J187" s="118" t="s">
        <v>1894</v>
      </c>
      <c r="K187" s="118" t="s">
        <v>1895</v>
      </c>
    </row>
    <row r="188" spans="2:11" ht="73.900000000000006" customHeight="1" x14ac:dyDescent="0.2">
      <c r="B188" s="2" t="str">
        <f t="shared" si="3"/>
        <v>Walter Kobylanski - Inversor Particular</v>
      </c>
      <c r="C188" s="4" t="s">
        <v>1267</v>
      </c>
      <c r="D188" s="4" t="s">
        <v>1639</v>
      </c>
      <c r="E188" s="5" t="s">
        <v>1268</v>
      </c>
      <c r="F188" s="5" t="s">
        <v>1269</v>
      </c>
      <c r="G188" s="6"/>
      <c r="H188" s="6"/>
      <c r="I188" s="7" t="s">
        <v>1270</v>
      </c>
      <c r="J188" s="7" t="s">
        <v>1896</v>
      </c>
      <c r="K188" s="7" t="s">
        <v>1897</v>
      </c>
    </row>
    <row r="189" spans="2:11" ht="73.900000000000006" customHeight="1" x14ac:dyDescent="0.2">
      <c r="B189" s="2" t="str">
        <f t="shared" si="3"/>
        <v>Xabier Rubiralta - Inversor Particular</v>
      </c>
      <c r="C189" s="4" t="s">
        <v>1271</v>
      </c>
      <c r="D189" s="4" t="s">
        <v>1658</v>
      </c>
      <c r="E189" s="5" t="s">
        <v>1272</v>
      </c>
      <c r="F189" s="6"/>
      <c r="G189" s="6"/>
      <c r="H189" s="6"/>
      <c r="I189" s="180" t="s">
        <v>1273</v>
      </c>
      <c r="J189" s="7" t="s">
        <v>890</v>
      </c>
      <c r="K189" s="7" t="s">
        <v>1898</v>
      </c>
    </row>
    <row r="190" spans="2:11" ht="73.900000000000006" customHeight="1" x14ac:dyDescent="0.2">
      <c r="B190" s="2" t="str">
        <f t="shared" si="3"/>
        <v>Xavier Durall Tremoleda - Inversor Particular</v>
      </c>
      <c r="C190" s="4" t="s">
        <v>1274</v>
      </c>
      <c r="D190" s="4" t="s">
        <v>1658</v>
      </c>
      <c r="E190" s="5" t="s">
        <v>1275</v>
      </c>
      <c r="F190" s="6"/>
      <c r="G190" s="6"/>
      <c r="H190" s="6"/>
      <c r="I190" s="7"/>
      <c r="J190" s="7" t="s">
        <v>1792</v>
      </c>
      <c r="K190" s="7" t="s">
        <v>1899</v>
      </c>
    </row>
    <row r="191" spans="2:11" ht="73.900000000000006" customHeight="1" x14ac:dyDescent="0.2">
      <c r="B191" s="2" t="str">
        <f t="shared" si="3"/>
        <v>Xavier Pladellorens - Inversor Particular</v>
      </c>
      <c r="C191" s="4" t="s">
        <v>1276</v>
      </c>
      <c r="D191" s="4" t="s">
        <v>1658</v>
      </c>
      <c r="E191" s="5" t="s">
        <v>1277</v>
      </c>
      <c r="F191" s="6"/>
      <c r="G191" s="6"/>
      <c r="H191" s="6"/>
      <c r="I191" s="7"/>
      <c r="J191" s="7" t="s">
        <v>1792</v>
      </c>
      <c r="K191" s="7" t="s">
        <v>1900</v>
      </c>
    </row>
    <row r="192" spans="2:11" ht="73.900000000000006" customHeight="1" x14ac:dyDescent="0.2">
      <c r="B192" s="2" t="str">
        <f t="shared" si="3"/>
        <v>Yago Arbeloa - Inversor Particular</v>
      </c>
      <c r="C192" s="4" t="s">
        <v>1278</v>
      </c>
      <c r="D192" s="4" t="s">
        <v>1658</v>
      </c>
      <c r="E192" s="5" t="s">
        <v>1279</v>
      </c>
      <c r="F192" s="5" t="s">
        <v>1280</v>
      </c>
      <c r="G192" s="5" t="s">
        <v>1281</v>
      </c>
      <c r="H192" s="6"/>
      <c r="I192" s="7" t="s">
        <v>1282</v>
      </c>
      <c r="J192" s="7" t="s">
        <v>1901</v>
      </c>
      <c r="K192" s="7" t="s">
        <v>1902</v>
      </c>
    </row>
    <row r="193" spans="2:11" s="113" customFormat="1" ht="73.900000000000006" customHeight="1" x14ac:dyDescent="0.2">
      <c r="B193" s="2" t="str">
        <f t="shared" si="3"/>
        <v>Zaryn Dentzel - Inversor Particular</v>
      </c>
      <c r="C193" s="114" t="s">
        <v>1283</v>
      </c>
      <c r="D193" s="114" t="s">
        <v>1706</v>
      </c>
      <c r="E193" s="115" t="s">
        <v>1284</v>
      </c>
      <c r="F193" s="115" t="s">
        <v>1285</v>
      </c>
      <c r="G193" s="116"/>
      <c r="H193" s="116"/>
      <c r="I193" s="118" t="s">
        <v>1286</v>
      </c>
      <c r="J193" s="118" t="s">
        <v>1903</v>
      </c>
      <c r="K193" s="118" t="s">
        <v>1904</v>
      </c>
    </row>
    <row r="194" spans="2:11" s="113" customFormat="1" ht="73.900000000000006" customHeight="1" x14ac:dyDescent="0.2">
      <c r="B194" s="124" t="s">
        <v>1905</v>
      </c>
      <c r="C194" s="124" t="s">
        <v>1905</v>
      </c>
      <c r="D194" s="125" t="s">
        <v>1908</v>
      </c>
      <c r="E194" s="126"/>
      <c r="F194" s="125"/>
      <c r="G194" s="126"/>
      <c r="H194" s="126"/>
      <c r="I194" s="126"/>
      <c r="J194" s="127" t="s">
        <v>1792</v>
      </c>
      <c r="K194" s="128" t="s">
        <v>1906</v>
      </c>
    </row>
    <row r="195" spans="2:11" ht="73.900000000000006" customHeight="1" x14ac:dyDescent="0.2"/>
    <row r="196" spans="2:11" ht="73.900000000000006" customHeight="1" x14ac:dyDescent="0.2">
      <c r="C196" s="84"/>
      <c r="D196" s="84"/>
    </row>
    <row r="197" spans="2:11" ht="73.900000000000006" customHeight="1" x14ac:dyDescent="0.2"/>
  </sheetData>
  <hyperlinks>
    <hyperlink ref="E182" r:id="rId1" xr:uid="{786019D8-2394-408A-A2C6-F3241E8F2A79}"/>
    <hyperlink ref="F182" r:id="rId2" xr:uid="{AB43D39E-2F70-4DFA-862D-5CA62A18EA00}"/>
    <hyperlink ref="G182" r:id="rId3" xr:uid="{D10CA437-C5C6-40ED-B0E7-ABDA202CD2E8}"/>
    <hyperlink ref="F167" r:id="rId4" xr:uid="{BBE83725-B870-4DAF-AABF-1CE340BECEFB}"/>
    <hyperlink ref="G167" r:id="rId5" xr:uid="{8C0E7CE6-3385-40CB-B3AA-BB7F14F082EE}"/>
    <hyperlink ref="E139" r:id="rId6" xr:uid="{D60C6E7C-9D8B-4784-BF58-49479004A33F}"/>
    <hyperlink ref="E138" r:id="rId7" xr:uid="{F6227CEA-E06D-4EEB-8F60-061D984FA1DC}"/>
    <hyperlink ref="G138" r:id="rId8" xr:uid="{CBB45F64-6B46-423F-929A-70D05384A652}"/>
    <hyperlink ref="E155" r:id="rId9" xr:uid="{B405B729-9140-470A-9ACA-AFE9C434009F}"/>
    <hyperlink ref="E31" r:id="rId10" xr:uid="{FB30CE08-6260-47F3-B2FD-4676C0DB9BE5}"/>
    <hyperlink ref="G3" r:id="rId11" xr:uid="{36095D11-0557-4FF0-B9F0-FC669365D013}"/>
    <hyperlink ref="G4" r:id="rId12" xr:uid="{C4B228B9-1AB3-41A2-933F-204D4AA82004}"/>
    <hyperlink ref="G5" r:id="rId13" xr:uid="{AF7615CD-3FAC-4BEC-8FC1-511DEFE69A77}"/>
    <hyperlink ref="E7" r:id="rId14" xr:uid="{C4E60504-3EB8-4574-83C8-F0B908E516F6}"/>
    <hyperlink ref="E9" r:id="rId15" xr:uid="{202466E1-B167-4EC1-AA9F-F2CEA472BE18}"/>
    <hyperlink ref="C10" r:id="rId16" xr:uid="{C1568CAE-B3F3-414A-8E4F-91E0FAEAEEE2}"/>
    <hyperlink ref="E10" r:id="rId17" xr:uid="{7401AF26-7062-4B0E-83DC-76A462CA6105}"/>
    <hyperlink ref="F10" r:id="rId18" xr:uid="{53E2490B-0127-4CA6-9B71-BEDF055FA5C0}"/>
    <hyperlink ref="G10" r:id="rId19" xr:uid="{D7DE20CE-6C89-480A-AE56-F765A1B49C11}"/>
    <hyperlink ref="E11" r:id="rId20" xr:uid="{94313C7A-8933-418B-97A7-8BFC6A3A87E3}"/>
    <hyperlink ref="F11" r:id="rId21" xr:uid="{2976CD87-42B1-4289-9641-40FEEDAF046E}"/>
    <hyperlink ref="G11" r:id="rId22" xr:uid="{8AB5F631-5135-45EE-9375-11B31AB829B4}"/>
    <hyperlink ref="E12" r:id="rId23" xr:uid="{BD41527F-FA23-456A-A8D8-7E353339C038}"/>
    <hyperlink ref="E13" r:id="rId24" xr:uid="{1047EBBC-196B-4514-A70B-BAF8076567EE}"/>
    <hyperlink ref="F13" r:id="rId25" xr:uid="{FAE18D1C-67DB-44C4-B086-68CD170758FD}"/>
    <hyperlink ref="E14" r:id="rId26" xr:uid="{2F10716E-D501-42A7-8E9B-E96CAD6A4051}"/>
    <hyperlink ref="C15" r:id="rId27" xr:uid="{1A5167C8-A507-41F8-8614-0FA33916DD56}"/>
    <hyperlink ref="E15" r:id="rId28" xr:uid="{D91B7667-F372-404E-85D7-E361DBB5847C}"/>
    <hyperlink ref="C16" r:id="rId29" xr:uid="{C2B2DC41-507F-4147-8531-976673D93690}"/>
    <hyperlink ref="E16" r:id="rId30" xr:uid="{8AA7C36D-4D5C-4DED-87D9-237F85E64C93}"/>
    <hyperlink ref="F16" r:id="rId31" xr:uid="{9359CA30-FFBC-431A-A641-C94286CA0D17}"/>
    <hyperlink ref="C17" r:id="rId32" xr:uid="{B8CD5348-1CB3-43BE-8B40-B64DCEFB07FC}"/>
    <hyperlink ref="E17" r:id="rId33" xr:uid="{3967E0DD-7A82-480D-876B-5E7849AD749D}"/>
    <hyperlink ref="F17" r:id="rId34" xr:uid="{C30E0B2E-C580-4301-B028-E4C640699D46}"/>
    <hyperlink ref="E18" r:id="rId35" xr:uid="{94855E87-2BB7-4D45-9046-A1CD83FD8F71}"/>
    <hyperlink ref="F18" r:id="rId36" xr:uid="{FFA41486-661F-4A8B-B5E9-CB267AB358F6}"/>
    <hyperlink ref="E19" r:id="rId37" xr:uid="{15649FA8-255A-44F1-BB2C-1C40D568C72C}"/>
    <hyperlink ref="F19" r:id="rId38" xr:uid="{E22FA691-0525-4F1D-AE14-E5A12B6C80CA}"/>
    <hyperlink ref="C20" r:id="rId39" xr:uid="{1879F777-01B3-4C8B-92B1-4FCDE8A73B1F}"/>
    <hyperlink ref="E20" r:id="rId40" xr:uid="{C65BA9D5-7087-406D-8008-3D839970233C}"/>
    <hyperlink ref="F20" r:id="rId41" xr:uid="{E4DF5054-4D1C-4F2E-A4E9-0A2E8DEB226D}"/>
    <hyperlink ref="G20" r:id="rId42" xr:uid="{B1A41756-7B90-40AE-BA1E-B7887463B11B}"/>
    <hyperlink ref="C21" r:id="rId43" xr:uid="{B9689E28-3099-4434-8AA8-DD2C2E250E06}"/>
    <hyperlink ref="E21" r:id="rId44" xr:uid="{BD2D08E4-31AD-42DE-BA04-036D8BC45843}"/>
    <hyperlink ref="F21" r:id="rId45" xr:uid="{5036A5FB-F797-4093-98D3-46DBB5A132B5}"/>
    <hyperlink ref="G21" r:id="rId46" xr:uid="{9DD16C1A-9AC5-4B6D-BB3B-499909A82BB1}"/>
    <hyperlink ref="C22" r:id="rId47" xr:uid="{1F682DF9-DF05-40E2-A687-590967750F87}"/>
    <hyperlink ref="E22" r:id="rId48" xr:uid="{B397AD51-DA52-43B1-98EE-4DEA2481BDDC}"/>
    <hyperlink ref="G22" r:id="rId49" xr:uid="{9C6939D7-22EB-48EF-8F52-71A7000CCBA6}"/>
    <hyperlink ref="E23" r:id="rId50" xr:uid="{F7E0AE6B-C607-4DC1-89B3-A6BA274E25B3}"/>
    <hyperlink ref="C24" r:id="rId51" xr:uid="{A5992A21-55D7-4F4B-8902-BF92C95E12C6}"/>
    <hyperlink ref="E24" r:id="rId52" xr:uid="{99C98606-4CE6-4E43-BBA6-E3964638BEB6}"/>
    <hyperlink ref="C25" r:id="rId53" xr:uid="{B7EA57EF-E289-461A-9E75-52DC4165607F}"/>
    <hyperlink ref="E25" r:id="rId54" xr:uid="{E2DDAEA2-4A41-4217-BBAD-7E233965717C}"/>
    <hyperlink ref="E26" r:id="rId55" xr:uid="{113CA8C0-3F7B-467F-9324-F19978BD5520}"/>
    <hyperlink ref="G26" r:id="rId56" xr:uid="{662B167C-B237-4316-AE1A-21CFBF8FAE2A}"/>
    <hyperlink ref="G27" r:id="rId57" xr:uid="{C6C812A6-361F-44D3-AC01-6F95DA381E97}"/>
    <hyperlink ref="E28" r:id="rId58" xr:uid="{C07111AD-E858-45DE-BAC8-800F76B60EDA}"/>
    <hyperlink ref="F28" r:id="rId59" xr:uid="{805584E1-F252-4492-AD24-D8B8197D389C}"/>
    <hyperlink ref="E29" r:id="rId60" xr:uid="{2D18F480-444D-4D81-814F-B1014E5F5C3A}"/>
    <hyperlink ref="F29" r:id="rId61" xr:uid="{DB15B97C-9C6F-41F3-BBE7-66E2E3A3E5A5}"/>
    <hyperlink ref="E30" r:id="rId62" xr:uid="{26DE95CB-6887-4834-921E-1494202FABB1}"/>
    <hyperlink ref="F30" r:id="rId63" xr:uid="{38E13B4B-9BEC-4BF3-A07E-2F1B37D13422}"/>
    <hyperlink ref="C32" r:id="rId64" xr:uid="{525EEB57-59D8-4C7F-A748-021BBD02186E}"/>
    <hyperlink ref="E32" r:id="rId65" xr:uid="{5313F5E6-F951-4535-96B3-9A7ECD089990}"/>
    <hyperlink ref="E33" r:id="rId66" xr:uid="{E846B9AA-9D09-4EFF-BB85-4629A3A29170}"/>
    <hyperlink ref="F33" r:id="rId67" xr:uid="{B05BD17F-4E0A-4AE1-92E1-D7627F8902A3}"/>
    <hyperlink ref="C34" r:id="rId68" xr:uid="{F02A898A-98A7-4C6E-8719-9E23FC69A038}"/>
    <hyperlink ref="E34" r:id="rId69" xr:uid="{ADB4D0C5-8291-433F-BE0B-B46C04743C6D}"/>
    <hyperlink ref="F34" r:id="rId70" xr:uid="{48CE1076-8306-4934-989A-D2EA8437EC9E}"/>
    <hyperlink ref="C35" r:id="rId71" xr:uid="{F1E2A69B-B979-47E8-A55A-33492669D87C}"/>
    <hyperlink ref="E35" r:id="rId72" xr:uid="{26A06387-DFCF-47B4-8B24-06577B71C702}"/>
    <hyperlink ref="F35" r:id="rId73" xr:uid="{5458ECCB-91FE-4C30-96B7-EC45B1B13398}"/>
    <hyperlink ref="G36" r:id="rId74" location="whatwedo" xr:uid="{B25A3BAE-A02A-4121-8277-3D998106067E}"/>
    <hyperlink ref="G37" r:id="rId75" xr:uid="{AE929235-D6B4-45B7-AE65-FD6BF422E796}"/>
    <hyperlink ref="G38" r:id="rId76" xr:uid="{3855AAB1-606C-4F0E-9D67-0874416A30B1}"/>
    <hyperlink ref="E39" r:id="rId77" location="que-es-cupido" xr:uid="{8A0B4536-383A-49DF-B1E2-C439C9B23822}"/>
    <hyperlink ref="E40" r:id="rId78" xr:uid="{4FDC1163-EDCA-46A6-8D8F-D294E7679F43}"/>
    <hyperlink ref="E41" r:id="rId79" xr:uid="{2997E7A0-BBAA-4C43-AD69-DAAEFC4D582B}"/>
    <hyperlink ref="E42" r:id="rId80" xr:uid="{29FA8AF4-2DB4-408F-9CC9-E860F089E0FF}"/>
    <hyperlink ref="F42" r:id="rId81" xr:uid="{78700960-FAC5-4817-995F-43AA39AB7CC0}"/>
    <hyperlink ref="G42" r:id="rId82" xr:uid="{118400F5-9815-401F-A86B-B55193D7FEC7}"/>
    <hyperlink ref="C43" r:id="rId83" xr:uid="{3AC20EA9-AE64-4EBF-8403-567D1A36BED7}"/>
    <hyperlink ref="E43" r:id="rId84" xr:uid="{7CFD1D66-74D8-4E0B-AF72-64899F9DE5B4}"/>
    <hyperlink ref="C44" r:id="rId85" xr:uid="{1CF5A4A4-DAFA-4E3B-9367-C439F19CA2A8}"/>
    <hyperlink ref="E44" r:id="rId86" xr:uid="{9E7FA36E-DA28-4200-A5C0-0C018B710562}"/>
    <hyperlink ref="C45" r:id="rId87" xr:uid="{B83AE93C-B08D-44ED-86CF-D8D6ED5AFDA6}"/>
    <hyperlink ref="E45" r:id="rId88" xr:uid="{C10CB97B-5320-4C26-84B3-708EE1986182}"/>
    <hyperlink ref="F45" r:id="rId89" xr:uid="{428F14D9-CF4B-4E7B-9E0C-860FB2B5F820}"/>
    <hyperlink ref="G45" r:id="rId90" xr:uid="{B83E1862-C327-4B3A-A2F4-7B206558F90F}"/>
    <hyperlink ref="C46" r:id="rId91" xr:uid="{C2933DB8-5248-42BE-B79E-745506BA2B6E}"/>
    <hyperlink ref="E46" r:id="rId92" xr:uid="{D6C0F72E-D07A-4212-9283-D09C462987BA}"/>
    <hyperlink ref="F46" r:id="rId93" xr:uid="{A8BF98EA-6FD2-4835-9B4A-14DBD972883D}"/>
    <hyperlink ref="G46" r:id="rId94" xr:uid="{B48B5B7F-3D4A-4909-BF08-8F3E642443F5}"/>
    <hyperlink ref="G47" r:id="rId95" xr:uid="{60E864A9-797D-480B-9574-763B21CCDFDB}"/>
    <hyperlink ref="G48" r:id="rId96" xr:uid="{7A78B335-7757-4337-BB04-E11F66AD74FF}"/>
    <hyperlink ref="G49" r:id="rId97" xr:uid="{E18F5FBE-507C-4632-92F2-7B545B0D7714}"/>
    <hyperlink ref="C50" r:id="rId98" xr:uid="{967F0AE3-79EC-4BDB-B648-205C3998A49F}"/>
    <hyperlink ref="E50" r:id="rId99" xr:uid="{D2F15604-F400-4026-8EA5-747A1FF6525D}"/>
    <hyperlink ref="C51" r:id="rId100" xr:uid="{B5AA3CEB-D005-41C5-9E5C-3442ABC392AB}"/>
    <hyperlink ref="E51" r:id="rId101" xr:uid="{D53A6E5E-2590-49C9-9F3F-9B8927CFFDEC}"/>
    <hyperlink ref="C52" r:id="rId102" xr:uid="{9B241A64-71BB-4C3B-9D20-43E7B721BF36}"/>
    <hyperlink ref="E52" r:id="rId103" xr:uid="{8C9CD77D-D1FE-4672-983C-C96164075848}"/>
    <hyperlink ref="G52" r:id="rId104" xr:uid="{965EA46F-79DD-45A2-8CCD-7BB7AE97B92C}"/>
    <hyperlink ref="E53" r:id="rId105" xr:uid="{62BEDEB3-43B1-4276-82B0-0A16E937ED28}"/>
    <hyperlink ref="F53" r:id="rId106" xr:uid="{0584AF4E-08E2-461B-8884-B61196E8C502}"/>
    <hyperlink ref="C55" r:id="rId107" xr:uid="{5D5A808B-7A75-40FB-9337-D809A49F403B}"/>
    <hyperlink ref="E55" r:id="rId108" xr:uid="{CFC0192F-D5EC-4F61-8DC4-7CFFB6AD1BBF}"/>
    <hyperlink ref="F55" r:id="rId109" xr:uid="{3277FA76-B0EC-461B-8FB3-896B52B112F6}"/>
    <hyperlink ref="G56" r:id="rId110" location=":~:text=ICF%20Venture%20Tech%20II.,actualmente%20en%20per%C3%ADodo%20de%20desinversi%C3%B3n" xr:uid="{68BBA4EC-132A-44C5-8406-50F848AEF761}"/>
    <hyperlink ref="E57" r:id="rId111" xr:uid="{1A099B70-E1F8-47EC-AD1E-3303DD80AF6F}"/>
    <hyperlink ref="G57" r:id="rId112" xr:uid="{C17C7414-E8CD-4255-9E75-DB0BD795AC5E}"/>
    <hyperlink ref="C58" r:id="rId113" xr:uid="{09DEF938-4CFB-41A7-BB8D-EEC11EAE1168}"/>
    <hyperlink ref="E59" r:id="rId114" xr:uid="{ECF8FB7B-487C-44FD-9694-0F6D66674CCF}"/>
    <hyperlink ref="E60" r:id="rId115" xr:uid="{4C5452C7-30D5-44E6-9633-9F048AB9B5BE}"/>
    <hyperlink ref="F60" r:id="rId116" xr:uid="{433B1478-B4AF-48ED-ACCB-9CE16E5D2709}"/>
    <hyperlink ref="G60" r:id="rId117" xr:uid="{8CD7CD05-46B4-468F-981B-CEB90B21F312}"/>
    <hyperlink ref="E61" r:id="rId118" xr:uid="{EA595B03-51C1-4BB5-89CA-F94DBED8B6D8}"/>
    <hyperlink ref="E62" r:id="rId119" xr:uid="{5D9B32BF-2A14-4D99-A770-DDD2C09867F7}"/>
    <hyperlink ref="F62" r:id="rId120" xr:uid="{FE0B34A5-BE7C-4FDC-8C0D-92650A3223E6}"/>
    <hyperlink ref="E63" r:id="rId121" xr:uid="{281B089B-581A-4C12-92BB-E6E26D739C25}"/>
    <hyperlink ref="F63" r:id="rId122" xr:uid="{83DF095E-C1DC-4552-81F0-A567F059B6C5}"/>
    <hyperlink ref="E64" r:id="rId123" xr:uid="{C86D7F67-B189-4B75-A88C-D9B4669B0D99}"/>
    <hyperlink ref="E65" r:id="rId124" xr:uid="{D4CE222D-986C-430E-8A6E-E426D7B3ACFE}"/>
    <hyperlink ref="C67" r:id="rId125" xr:uid="{8264842C-471D-49C9-9EDB-29EAB00EE6EE}"/>
    <hyperlink ref="F67" r:id="rId126" xr:uid="{ABABE263-2B8F-4C95-9032-DFEE9FB31145}"/>
    <hyperlink ref="C68" r:id="rId127" xr:uid="{38788310-7E88-4BD3-B3DC-1F9CC74AE480}"/>
    <hyperlink ref="E68" r:id="rId128" xr:uid="{F8076263-88E4-49EB-A236-75A92649A6FE}"/>
    <hyperlink ref="F68" r:id="rId129" xr:uid="{EB2170A1-FE9D-476E-8547-F8EA3453BC84}"/>
    <hyperlink ref="G68" r:id="rId130" xr:uid="{41EF45E0-9BE1-4C55-B682-289ED3FBF26B}"/>
    <hyperlink ref="E69" r:id="rId131" xr:uid="{D802A5B6-15D5-4AA2-A21F-C51641D135A9}"/>
    <hyperlink ref="G69" r:id="rId132" xr:uid="{85997DEC-EC10-419E-B01C-C7CC223CEC99}"/>
    <hyperlink ref="G71" r:id="rId133" xr:uid="{4292F31E-2C9B-471C-8E13-24F4C581CBDB}"/>
    <hyperlink ref="E120" r:id="rId134" xr:uid="{7D61D0D7-0680-4571-848E-20DB9EADF8AE}"/>
    <hyperlink ref="G121" r:id="rId135" xr:uid="{4F5DCBFD-A584-42C0-8BC5-5D8680386A1C}"/>
    <hyperlink ref="C122" r:id="rId136" xr:uid="{31439E10-9BFA-4590-AB68-F9884E4A6F31}"/>
    <hyperlink ref="E122" r:id="rId137" xr:uid="{FEF853C2-0822-41BE-ABC8-F1F7D880A897}"/>
    <hyperlink ref="E123" r:id="rId138" xr:uid="{C48B8642-315C-4DF5-9B67-5DF33E3A0088}"/>
    <hyperlink ref="F123" r:id="rId139" xr:uid="{434B15B3-EC17-44F9-B857-C1987AD9EAEF}"/>
    <hyperlink ref="E124" r:id="rId140" xr:uid="{C4EBB3FD-8CE4-43BF-BFD3-C6EBDF529F95}"/>
    <hyperlink ref="E125" r:id="rId141" xr:uid="{B4AC6090-E2F6-49FD-8596-FA78BA81352C}"/>
    <hyperlink ref="F125" r:id="rId142" xr:uid="{EABEC12B-FF0C-4058-988E-1DC24832B56C}"/>
    <hyperlink ref="C126" r:id="rId143" xr:uid="{29F1E2C9-CD09-4DDF-AD9E-56FFF7B57C71}"/>
    <hyperlink ref="E126" r:id="rId144" xr:uid="{C16297C8-FEC8-43F6-84A0-0E75A5EB468B}"/>
    <hyperlink ref="F126" r:id="rId145" xr:uid="{EE7D7DD3-2E35-4E2E-999B-07A94CB86660}"/>
    <hyperlink ref="E127" r:id="rId146" xr:uid="{5254AD1D-DE7E-4472-BF9A-7172809BC618}"/>
    <hyperlink ref="E128" r:id="rId147" xr:uid="{01698CCF-6462-4FC2-80A2-1F323C9469AC}"/>
    <hyperlink ref="G128" r:id="rId148" location="work" xr:uid="{224F0E97-251C-45E4-BACD-7705F7660D42}"/>
    <hyperlink ref="C129" r:id="rId149" xr:uid="{37221742-4936-4B7C-B64E-1FF396647AE6}"/>
    <hyperlink ref="E129" r:id="rId150" xr:uid="{43BF2C0C-DBD8-476F-95C1-B3B550912C3E}"/>
    <hyperlink ref="C130" r:id="rId151" xr:uid="{1FA76507-6C6B-4EC0-B38D-0FB05788AD1A}"/>
    <hyperlink ref="E130" r:id="rId152" xr:uid="{FCE82AFB-0245-4EA8-9A67-1EBC2C550BF4}"/>
    <hyperlink ref="F130" r:id="rId153" xr:uid="{C46AC73A-7C1E-4E16-9A6E-7C0F33013012}"/>
    <hyperlink ref="G130" r:id="rId154" xr:uid="{DBC21D96-9391-4CBB-A049-68ED246B5533}"/>
    <hyperlink ref="E131" r:id="rId155" xr:uid="{06019641-6CC9-46F1-BA18-BB4C7EAC4BB9}"/>
    <hyperlink ref="E132" r:id="rId156" xr:uid="{71A55695-683F-43CD-B7D7-98AA702A1211}"/>
    <hyperlink ref="E133" r:id="rId157" xr:uid="{224C05C6-6164-4B47-BCFF-8C31BFD841AB}"/>
    <hyperlink ref="F133" r:id="rId158" xr:uid="{6DDBDE37-4621-4D44-B9A1-32905A9F0294}"/>
    <hyperlink ref="G133" r:id="rId159" xr:uid="{9A76F630-DF85-45FC-BAA9-BBAADA9AE3E2}"/>
    <hyperlink ref="C134" r:id="rId160" xr:uid="{39CAD9F6-59B1-445E-9F2C-959EA72EFDA2}"/>
    <hyperlink ref="E134" r:id="rId161" xr:uid="{95F429C5-0520-4A09-92DB-3CF8EF3DBDFA}"/>
    <hyperlink ref="G135" r:id="rId162" xr:uid="{D429B1B6-FCD2-442C-B5FD-1C162DB010C5}"/>
    <hyperlink ref="G136" r:id="rId163" xr:uid="{DC1D207F-F1DD-494A-B960-95AA61F2D3A5}"/>
    <hyperlink ref="E137" r:id="rId164" xr:uid="{58BC6986-242B-46D1-A9E5-DBCBBCD88602}"/>
    <hyperlink ref="F137" r:id="rId165" xr:uid="{F538FD9E-BE7B-4DFC-A79F-EC9831E51763}"/>
    <hyperlink ref="G137" r:id="rId166" xr:uid="{D872705D-04D5-4C35-B48F-861CD0E3D711}"/>
    <hyperlink ref="E140" r:id="rId167" xr:uid="{571F7486-6922-4B06-8119-40ECC96DC278}"/>
    <hyperlink ref="C141" r:id="rId168" xr:uid="{FABC5FC6-4DEC-4B90-8B09-CCD4D7BB999C}"/>
    <hyperlink ref="E141" r:id="rId169" xr:uid="{FAC911E8-1818-4423-9A8D-07CF48AAD8D6}"/>
    <hyperlink ref="F141" r:id="rId170" xr:uid="{B7A827F6-0026-44CE-B27A-0BE6402F5E23}"/>
    <hyperlink ref="G141" r:id="rId171" xr:uid="{A847EFA0-58B9-49C6-AAFB-545B7BC6598F}"/>
    <hyperlink ref="G142" r:id="rId172" xr:uid="{5A11F450-3FEE-46A7-993B-59049B41C43E}"/>
    <hyperlink ref="E143" r:id="rId173" xr:uid="{DDB16EC5-BD7A-4473-95D3-DA676191B9F6}"/>
    <hyperlink ref="E144" r:id="rId174" xr:uid="{864D73E0-DEBE-4305-BF7A-1987E9D5C255}"/>
    <hyperlink ref="E145" r:id="rId175" xr:uid="{CF293EAF-7431-4DF0-B257-3CA60D35C8C8}"/>
    <hyperlink ref="G145" r:id="rId176" xr:uid="{EF234741-A93C-408E-B6B9-8C79491D72D9}"/>
    <hyperlink ref="E146" r:id="rId177" xr:uid="{7DE6E8BD-F06C-43B2-97C6-565858B8426B}"/>
    <hyperlink ref="E147" r:id="rId178" xr:uid="{49E813A7-E037-4DDB-81B7-C81A734ECB6E}"/>
    <hyperlink ref="F147" r:id="rId179" xr:uid="{FA930B5A-C7E6-4FDF-906E-14F6E36A9FDE}"/>
    <hyperlink ref="C148" r:id="rId180" xr:uid="{A637CDDA-2CC4-4C12-9160-B8F0FDAFB8D4}"/>
    <hyperlink ref="E148" r:id="rId181" xr:uid="{B0C2FD6B-706A-4557-BB4F-111ADBDA6F1F}"/>
    <hyperlink ref="E149" r:id="rId182" xr:uid="{337019B3-B886-41FD-8D3F-9EC53F6AD0D9}"/>
    <hyperlink ref="E150" r:id="rId183" xr:uid="{CFD41C7C-9F15-4346-BBF5-4B55FF43CB92}"/>
    <hyperlink ref="F150" r:id="rId184" xr:uid="{D7365BF0-896E-4384-87DD-92CE454C758A}"/>
    <hyperlink ref="E151" r:id="rId185" xr:uid="{78A70E76-5D9E-48FD-AEAB-9914D146AF11}"/>
    <hyperlink ref="E152" r:id="rId186" xr:uid="{DEFDC887-8AC9-437E-8E2F-76D7377FCD9B}"/>
    <hyperlink ref="E153" r:id="rId187" xr:uid="{5934A251-BADF-475D-ABEA-019759E28CAC}"/>
    <hyperlink ref="F153" r:id="rId188" xr:uid="{DCD9B178-43AC-4A5F-99DF-91CF835ECC1B}"/>
    <hyperlink ref="G154" r:id="rId189" xr:uid="{AE83DED5-2370-48E2-A5CB-B7AE848BCE87}"/>
    <hyperlink ref="E156" r:id="rId190" xr:uid="{27D89697-9DB1-45D7-B857-2FF27895CAE3}"/>
    <hyperlink ref="E157" r:id="rId191" xr:uid="{56413E56-25C6-4929-953A-42D61645422B}"/>
    <hyperlink ref="E158" r:id="rId192" xr:uid="{F3E02D79-AB9C-4F6A-8F7F-0AD4F0B71EA5}"/>
    <hyperlink ref="G158" r:id="rId193" xr:uid="{D7E5F237-237D-413E-934F-56D8400C04AD}"/>
    <hyperlink ref="E159" r:id="rId194" xr:uid="{D1A9981A-C5DE-44A9-98A5-9B4B538E7D15}"/>
    <hyperlink ref="G159" r:id="rId195" location="contacto" xr:uid="{20EBD86E-C26D-45AE-A6FA-50C5CD8DACE2}"/>
    <hyperlink ref="E160" r:id="rId196" xr:uid="{AEF6DF55-873A-4A8D-9ACA-2D9A5D4212E3}"/>
    <hyperlink ref="E161" r:id="rId197" xr:uid="{D9969638-B045-46E5-B048-3E8A2D429286}"/>
    <hyperlink ref="F161" r:id="rId198" xr:uid="{7B11A5B8-EC35-4BF4-9B83-F212B0D8504E}"/>
    <hyperlink ref="G161" r:id="rId199" xr:uid="{81747D94-135F-40CB-9942-94D6452FBD22}"/>
    <hyperlink ref="G162" r:id="rId200" xr:uid="{00CB7B60-7796-4793-847B-C92C529B8DDC}"/>
    <hyperlink ref="E163" r:id="rId201" xr:uid="{FD2BB0FE-F1EE-4DA5-A1A6-0A51BA422ADF}"/>
    <hyperlink ref="G164" r:id="rId202" xr:uid="{F94D1CF0-7CAF-4BB4-AE8E-5EF927A2ACBE}"/>
    <hyperlink ref="E165" r:id="rId203" xr:uid="{C3ABD29C-9609-4CD3-ACE3-4819DD3125C6}"/>
    <hyperlink ref="F165" r:id="rId204" xr:uid="{AA593993-4A42-42A8-8A81-81485C2F3FBA}"/>
    <hyperlink ref="G166" r:id="rId205" xr:uid="{162C7AEE-7168-4E84-95C3-61ED7D107C78}"/>
    <hyperlink ref="E168" r:id="rId206" xr:uid="{2573526A-FFDA-437B-9C9F-E6770678DF78}"/>
    <hyperlink ref="G169" r:id="rId207" xr:uid="{83C7A499-40B5-49FF-ACD1-5C899B545E9E}"/>
    <hyperlink ref="E170" r:id="rId208" xr:uid="{0115D294-78D2-4B47-9893-B77CB270C17A}"/>
    <hyperlink ref="E171" r:id="rId209" xr:uid="{0623AC8F-5CE0-419A-B4A2-130CAE5C9551}"/>
    <hyperlink ref="G172" r:id="rId210" xr:uid="{A74C4FCB-263D-46BF-8071-104E92C75C89}"/>
    <hyperlink ref="G173" r:id="rId211" xr:uid="{6485A5EB-871F-4406-A241-C83CAD1580D9}"/>
    <hyperlink ref="C174" r:id="rId212" xr:uid="{A1BAC1AB-1A1A-4B35-B627-174757D0EEA7}"/>
    <hyperlink ref="E174" r:id="rId213" xr:uid="{B32176C1-C515-4134-BE40-65238BD1A1AE}"/>
    <hyperlink ref="G174" r:id="rId214" xr:uid="{50A27D10-9E4C-4700-8372-F5C65F428709}"/>
    <hyperlink ref="E175" r:id="rId215" xr:uid="{34633CCB-A5E9-4A26-8836-9E7A62DC4043}"/>
    <hyperlink ref="F175" r:id="rId216" xr:uid="{6617DD08-429B-4C6F-B7EA-EDC06848349F}"/>
    <hyperlink ref="E176" r:id="rId217" xr:uid="{EBADEC7E-521E-410C-BE25-1D8B6748974F}"/>
    <hyperlink ref="F176" r:id="rId218" xr:uid="{A947E817-73FD-44E9-AEF0-6802E13C544F}"/>
    <hyperlink ref="E177" r:id="rId219" xr:uid="{C1F3F6EC-5901-45C9-B6DD-C8C73BBF8D5D}"/>
    <hyperlink ref="G178" r:id="rId220" xr:uid="{11188AE8-96EA-4582-8965-D457885036E5}"/>
    <hyperlink ref="G179" r:id="rId221" xr:uid="{72F0CAFC-8715-42EA-B1FE-24182B582BA5}"/>
    <hyperlink ref="G180" r:id="rId222" location="aboutus" xr:uid="{FC05D433-74A3-415C-B159-F348BAE55057}"/>
    <hyperlink ref="G181" r:id="rId223" xr:uid="{0A7CD031-5274-4518-8DC4-D4EA0DD7599D}"/>
    <hyperlink ref="E183" r:id="rId224" xr:uid="{88852FA5-7B44-4B37-83E7-1FCF24FB070B}"/>
    <hyperlink ref="F183" r:id="rId225" xr:uid="{13880CED-8580-49D5-85D9-FD3D869E6A95}"/>
    <hyperlink ref="E184" r:id="rId226" xr:uid="{9DCAB95A-7A52-4B3E-B901-C4D0A8261FCE}"/>
    <hyperlink ref="C185" r:id="rId227" xr:uid="{0CC41875-2A1F-4696-9407-A5E2A4C9906D}"/>
    <hyperlink ref="E185" r:id="rId228" xr:uid="{EBDD37B5-3EC7-4EF6-9A48-8413BDCC9F27}"/>
    <hyperlink ref="E186" r:id="rId229" xr:uid="{7CA95E7F-6A84-44DA-93EE-2E5C649FB40F}"/>
    <hyperlink ref="C187" r:id="rId230" xr:uid="{3830DB8E-E41A-4195-86C3-E8E5F7F24FC3}"/>
    <hyperlink ref="E187" r:id="rId231" xr:uid="{206B2BBE-8546-403E-A719-CA8620CB0719}"/>
    <hyperlink ref="F187" r:id="rId232" xr:uid="{0C6B3D7B-2481-4481-92C5-075D11555A96}"/>
    <hyperlink ref="E188" r:id="rId233" xr:uid="{57DD437C-3111-4829-896A-76A7467BE21C}"/>
    <hyperlink ref="F188" r:id="rId234" xr:uid="{A6466DDE-7C5A-4C51-8EDF-1C254387111D}"/>
    <hyperlink ref="E189" r:id="rId235" xr:uid="{D9FB334E-0B56-4184-8822-311614CE7E59}"/>
    <hyperlink ref="E190" r:id="rId236" xr:uid="{20804169-F772-41EA-8CA2-B91E83855B87}"/>
    <hyperlink ref="E191" r:id="rId237" xr:uid="{5ECE8CC6-5C9A-4A13-8131-5F33292B785B}"/>
    <hyperlink ref="C192" r:id="rId238" xr:uid="{8BDCBFE5-2C5B-4C51-B973-FF1313EB5C4E}"/>
    <hyperlink ref="E192" r:id="rId239" xr:uid="{568AFC32-5088-4565-8C3C-F9159574558F}"/>
    <hyperlink ref="F192" r:id="rId240" xr:uid="{9310A88B-A55D-441F-A7B7-B07C2F745322}"/>
    <hyperlink ref="G192" r:id="rId241" xr:uid="{29BF3154-AB22-43E4-AD09-EA2C162D694C}"/>
    <hyperlink ref="C193" r:id="rId242" xr:uid="{A988B85B-9EBF-4589-8F13-8884CC4F3F8A}"/>
    <hyperlink ref="E193" r:id="rId243" xr:uid="{A347727D-9E24-49A3-8B0E-8C73C1E17CFE}"/>
    <hyperlink ref="F193" r:id="rId244" xr:uid="{A0DE06DC-1A1B-4167-8DF4-159A708667C7}"/>
    <hyperlink ref="I128" r:id="rId245" xr:uid="{E90AB61F-B731-4ED6-AF37-17849FEC5AB6}"/>
    <hyperlink ref="I59" r:id="rId246" xr:uid="{267DEF3A-00EF-4582-AF07-2A97D5EB0200}"/>
    <hyperlink ref="G2" r:id="rId247" xr:uid="{6FE622BB-8FA3-4933-B06A-7768EBBED091}"/>
    <hyperlink ref="E54" r:id="rId248" xr:uid="{59BC29B1-D9E8-4A2E-8169-E934DE6919AB}"/>
    <hyperlink ref="F66" r:id="rId249" xr:uid="{1345BEDF-4D00-4073-BA45-A0BAA9CACCA7}"/>
    <hyperlink ref="E66" r:id="rId250" xr:uid="{7B8CADAF-4455-4D2C-99F4-E0FD7947F45F}"/>
    <hyperlink ref="G118" r:id="rId251" xr:uid="{D4D0E0EE-D195-4D87-A1B4-12F7CFA541CE}"/>
    <hyperlink ref="G112" r:id="rId252" xr:uid="{E0FD727C-3EF1-4DB0-8394-0E174422B448}"/>
    <hyperlink ref="G108" r:id="rId253" xr:uid="{E3BAD627-BC79-4E62-A298-7EC7C1DA2637}"/>
    <hyperlink ref="G106" r:id="rId254" xr:uid="{F4D8399A-FFA2-4039-B3B8-07F0C542EE7D}"/>
    <hyperlink ref="G105" r:id="rId255" xr:uid="{3790F763-9832-4218-A983-EE6D893614A8}"/>
    <hyperlink ref="G102" r:id="rId256" xr:uid="{AAA9DFB8-063F-42C7-9EEF-9F36C92BA926}"/>
    <hyperlink ref="G95" r:id="rId257" xr:uid="{65C21AE1-30FB-4148-9120-07D1BD65C96D}"/>
    <hyperlink ref="G79" r:id="rId258" xr:uid="{752808C3-6A18-4BFE-9C7F-0A630C822328}"/>
    <hyperlink ref="G77" r:id="rId259" xr:uid="{804048DA-273C-417C-AE85-4CEF626E6B9F}"/>
    <hyperlink ref="G76" r:id="rId260" xr:uid="{65E85CF4-7027-4B42-9F22-EA0D9CC86CF0}"/>
    <hyperlink ref="G75" r:id="rId261" xr:uid="{CD989DDD-C97D-4E10-900F-5EDDE2FC7ABB}"/>
    <hyperlink ref="C94" r:id="rId262" xr:uid="{AF582DCC-99A8-4567-8351-1E7E0CA2ECBA}"/>
    <hyperlink ref="C96" r:id="rId263" xr:uid="{D6389AB3-5F1F-4F46-9930-E9679860C5D2}"/>
    <hyperlink ref="C105" r:id="rId264" xr:uid="{B25A1A97-06E2-4FB9-ACBE-1C2226193101}"/>
    <hyperlink ref="C112" r:id="rId265" xr:uid="{FB7A262F-F28F-44E6-BF29-E4AAE00E28B7}"/>
    <hyperlink ref="C115" r:id="rId266" xr:uid="{DAE8A33B-A987-44A0-AD3E-3514EA76782E}"/>
    <hyperlink ref="F117" r:id="rId267" xr:uid="{B5D5DBB3-DF86-47F1-A4AA-73AE7963E748}"/>
    <hyperlink ref="E117" r:id="rId268" xr:uid="{4AEF27DE-4223-4D40-8AF8-D43ED77E5A47}"/>
    <hyperlink ref="E116" r:id="rId269" xr:uid="{22631B62-5671-4065-872F-81E94316B66E}"/>
    <hyperlink ref="E115" r:id="rId270" xr:uid="{233D127F-4F3B-4091-B4B5-11EF24897295}"/>
    <hyperlink ref="E114" r:id="rId271" xr:uid="{00B21FC3-D3F8-45EB-9F9D-7A4B83B61978}"/>
    <hyperlink ref="E113" r:id="rId272" xr:uid="{2B1B9415-6212-4B57-A727-FCA727338F43}"/>
    <hyperlink ref="F112" r:id="rId273" xr:uid="{3FF9A5BF-8BD9-43A6-83F9-9E14A9298D1C}"/>
    <hyperlink ref="E112" r:id="rId274" xr:uid="{4DE4C0F6-0859-4E51-989D-9D56A0B575AF}"/>
    <hyperlink ref="E111" r:id="rId275" xr:uid="{A57E719C-ECF7-4589-8D71-95095B5147B9}"/>
    <hyperlink ref="E110" r:id="rId276" xr:uid="{E12E40EC-A610-4EE7-92B7-37826338C180}"/>
    <hyperlink ref="E109" r:id="rId277" xr:uid="{6AB247F5-4DB8-4659-90A0-EA7D076EAC7B}"/>
    <hyperlink ref="E107" r:id="rId278" xr:uid="{713991CC-C918-4F9D-BBAB-C7CE2062A07E}"/>
    <hyperlink ref="F105" r:id="rId279" xr:uid="{61F0D64F-253F-493E-8773-F7AF0BBC6D43}"/>
    <hyperlink ref="E105" r:id="rId280" xr:uid="{AD92AE35-FCF9-4501-887B-0186A31C9F65}"/>
    <hyperlink ref="F104" r:id="rId281" xr:uid="{D2EC5D47-546E-4215-900E-73430E858C95}"/>
    <hyperlink ref="E104" r:id="rId282" xr:uid="{A6C05356-C8EE-45C7-A338-35713E33FB5C}"/>
    <hyperlink ref="E103" r:id="rId283" xr:uid="{513BF664-CC57-4D09-9DBB-4E61686A64D6}"/>
    <hyperlink ref="E102" r:id="rId284" xr:uid="{0B082D6A-FAE5-4A23-8643-E587B0712503}"/>
    <hyperlink ref="E101" r:id="rId285" xr:uid="{9116B238-D6BE-48ED-94AC-2CE5BFC6DD80}"/>
    <hyperlink ref="E100" r:id="rId286" xr:uid="{ACA960DF-FD76-4C19-B023-7046BD9BC962}"/>
    <hyperlink ref="E99" r:id="rId287" xr:uid="{43D5EFA1-1EFE-42E2-A77F-32793937CB93}"/>
    <hyperlink ref="F98" r:id="rId288" xr:uid="{FDA7DBBB-E901-46F7-8A08-D4813FA63B8E}"/>
    <hyperlink ref="E98" r:id="rId289" xr:uid="{51E9CC38-BCC6-48AD-BB99-AD2E2C81E60D}"/>
    <hyperlink ref="E97" r:id="rId290" xr:uid="{BA9E8025-B8A0-4302-A9C0-30D271CBF195}"/>
    <hyperlink ref="F96" r:id="rId291" xr:uid="{C3074612-0891-4A75-B386-535D6158188B}"/>
    <hyperlink ref="E96" r:id="rId292" xr:uid="{E84B3069-3DFF-4256-97F0-A0D098FD9867}"/>
    <hyperlink ref="E95" r:id="rId293" xr:uid="{FCF0434B-40A3-4FD0-A172-CED81968A576}"/>
    <hyperlink ref="F94" r:id="rId294" xr:uid="{45ED0E6C-9D5A-4D56-ACA1-46423E9C9B55}"/>
    <hyperlink ref="E94" r:id="rId295" xr:uid="{87BED272-ACA6-4DB0-8DD3-92F84A901418}"/>
    <hyperlink ref="F93" r:id="rId296" xr:uid="{3967774E-2757-4D00-881B-1C5730A32D29}"/>
    <hyperlink ref="E93" r:id="rId297" xr:uid="{9A41C8A7-7F5B-48D7-B5C4-0211C09C08DC}"/>
    <hyperlink ref="E92" r:id="rId298" xr:uid="{D7F42B2A-6092-4ED5-9BE3-AE9BC7F8E773}"/>
    <hyperlink ref="F91" r:id="rId299" xr:uid="{647237AB-1992-47F5-AF11-235541A3FF4F}"/>
    <hyperlink ref="E91" r:id="rId300" xr:uid="{8F421AAD-4E39-4371-B4CC-BB5B03C25027}"/>
    <hyperlink ref="E90" r:id="rId301" xr:uid="{5441970F-9E61-4FB8-B90E-0AF85E196616}"/>
    <hyperlink ref="E89" r:id="rId302" xr:uid="{B0EEA328-CC65-4F17-A1B6-681507ADEDBB}"/>
    <hyperlink ref="F88" r:id="rId303" xr:uid="{A35C1999-36B0-42EA-BF29-01D555BCEDE8}"/>
    <hyperlink ref="E88" r:id="rId304" xr:uid="{80A57C46-E6AE-422A-9737-61DD7C7F8D1A}"/>
    <hyperlink ref="E87" r:id="rId305" xr:uid="{2D53FEFC-AD0F-412D-88F2-F298FFA97EC9}"/>
    <hyperlink ref="E86" r:id="rId306" xr:uid="{2EA9BEB4-0C8E-4E63-A626-2F5BAB8EE440}"/>
    <hyperlink ref="F84" r:id="rId307" xr:uid="{DB205780-4335-4BC9-A83B-84A039F09602}"/>
    <hyperlink ref="E84" r:id="rId308" xr:uid="{DC412EAF-D56E-42B8-9A58-3F721247F87B}"/>
    <hyperlink ref="E83" r:id="rId309" xr:uid="{CBD7B921-50AC-4E25-B187-8B01DFFA2C36}"/>
    <hyperlink ref="E82" r:id="rId310" xr:uid="{7AAD4BE7-59A7-4A4E-834A-A08A02EF9E0D}"/>
    <hyperlink ref="F81" r:id="rId311" xr:uid="{FB8F9A96-8AE5-48CA-B7FC-6074223EFFFE}"/>
    <hyperlink ref="E81" r:id="rId312" xr:uid="{F9483441-A227-4550-B58C-75131A4002B9}"/>
    <hyperlink ref="E80" r:id="rId313" xr:uid="{0942CA08-6F2F-4F7C-8D95-BAD5DEE7605B}"/>
    <hyperlink ref="F78" r:id="rId314" xr:uid="{8AA288C7-9D5E-4047-8A92-163FEE0FA62A}"/>
    <hyperlink ref="E78" r:id="rId315" xr:uid="{DBE4E5E5-1A08-4A4C-AB05-BC6E5585DFF8}"/>
    <hyperlink ref="G73" r:id="rId316" xr:uid="{193710AB-01FC-4937-A329-ED598C4202C6}"/>
    <hyperlink ref="G74" r:id="rId317" location="realiza" xr:uid="{A2BE0C44-A3B7-46F5-A4B7-2588AF665124}"/>
    <hyperlink ref="G8" r:id="rId318" xr:uid="{35108915-15AF-44FB-AEBA-CD14BC4DCACC}"/>
    <hyperlink ref="H17" r:id="rId319" xr:uid="{50FF77CE-FFD5-4895-AA7B-5DEF735BCC22}"/>
    <hyperlink ref="H20" r:id="rId320" xr:uid="{BD4DBD5E-FE09-43E0-9B98-C73848459852}"/>
    <hyperlink ref="H21" r:id="rId321" xr:uid="{E92B1671-2736-4D4F-8F97-3DEFEE2E1935}"/>
    <hyperlink ref="H16" r:id="rId322" xr:uid="{3390D28E-5B9A-4CDD-A57A-AB38DFFBEA48}"/>
    <hyperlink ref="H3" r:id="rId323" xr:uid="{4E7ABDFF-DA5E-4014-A1BE-7F3EE2EF4EA1}"/>
    <hyperlink ref="H4" r:id="rId324" xr:uid="{422382AD-D61C-49A9-9E76-244B0279CD58}"/>
    <hyperlink ref="H5" r:id="rId325" xr:uid="{61923C86-0755-4C2E-833C-B5830162FBF4}"/>
    <hyperlink ref="H22" r:id="rId326" xr:uid="{66151CF1-AD00-47C1-96A1-CE929BB1DF4B}"/>
    <hyperlink ref="H23" r:id="rId327" xr:uid="{33218206-29BA-44C1-BF5F-3BEAB994BA47}"/>
    <hyperlink ref="H24" r:id="rId328" xr:uid="{18E1947E-127C-477E-BB9D-19DCFCB5C71E}"/>
    <hyperlink ref="H25" r:id="rId329" xr:uid="{AF545363-04BB-40AE-97DF-B84293320FDB}"/>
    <hyperlink ref="H26" r:id="rId330" xr:uid="{F925B723-329E-4BF8-8601-17E20C883965}"/>
    <hyperlink ref="H27" r:id="rId331" xr:uid="{C50984EF-6FC4-4350-8AD4-0E2AFAA92D5C}"/>
    <hyperlink ref="H28" r:id="rId332" xr:uid="{A0F8E89C-80E1-41F2-BFDC-21722CCCD181}"/>
    <hyperlink ref="H30" r:id="rId333" xr:uid="{D30E6FB3-619C-4534-BB2B-4003DA84AAC8}"/>
    <hyperlink ref="H31" r:id="rId334" xr:uid="{6C9879A0-FE08-428B-ADF4-98B89A3F5636}"/>
    <hyperlink ref="H37" r:id="rId335" xr:uid="{11DE812F-82E9-4A25-BC2D-1005F4D049C0}"/>
    <hyperlink ref="H36" r:id="rId336" xr:uid="{9045BF5E-4407-4F18-B46F-491BBDBA88EE}"/>
    <hyperlink ref="H34" r:id="rId337" xr:uid="{C0FC7A38-A793-4A21-B8FD-7F6E42F06794}"/>
    <hyperlink ref="H33" r:id="rId338" xr:uid="{82D88FBF-EFFE-4A5E-AD10-5F43738460BF}"/>
    <hyperlink ref="H38" r:id="rId339" xr:uid="{51449348-24D7-4791-BE0D-41375F35B9E5}"/>
    <hyperlink ref="H39" r:id="rId340" xr:uid="{F0150C17-11AE-46D2-AB29-3E602AA24523}"/>
    <hyperlink ref="H40" r:id="rId341" xr:uid="{8661D0FE-B001-483E-9AAC-CA420A79F1AB}"/>
    <hyperlink ref="H41" r:id="rId342" xr:uid="{D1BD6E52-1372-46B1-A50B-9D2A697EE4C3}"/>
    <hyperlink ref="H42" r:id="rId343" xr:uid="{491CA438-2D21-4F69-9D4D-AC2683294CFF}"/>
    <hyperlink ref="H43" r:id="rId344" xr:uid="{A3D40213-85B7-41C9-9E1D-8414CECE4A84}"/>
    <hyperlink ref="H44" r:id="rId345" xr:uid="{0D8A1AFC-6AFD-41ED-ACF5-ADE7CCAEB7A8}"/>
    <hyperlink ref="H45" r:id="rId346" xr:uid="{C84C6E04-D859-4FB2-BCBC-3B71D74B16CE}"/>
    <hyperlink ref="H46" r:id="rId347" xr:uid="{CD8AC48D-615A-4227-A5B5-D7276C7B778F}"/>
    <hyperlink ref="H47" r:id="rId348" xr:uid="{10D81826-02A3-40CD-AC9F-65684C7C75EA}"/>
    <hyperlink ref="H48" r:id="rId349" xr:uid="{5854DB97-02CA-4195-86E4-52926DF0AF6D}"/>
    <hyperlink ref="H49" r:id="rId350" xr:uid="{2A01B988-8BAD-414C-ACF3-263156A734F3}"/>
    <hyperlink ref="H50" r:id="rId351" xr:uid="{F70101EC-DCE1-4181-BF36-60A5AE87470E}"/>
    <hyperlink ref="H51" r:id="rId352" xr:uid="{EF559193-2968-4C0A-9410-E5B14704E9EB}"/>
    <hyperlink ref="E6" r:id="rId353" xr:uid="{0CCB86E7-48C8-4EAB-9286-DCCBEF90AE7D}"/>
    <hyperlink ref="C6" r:id="rId354" xr:uid="{1FD94B32-FDF2-406D-85AA-FCB89B4D72C1}"/>
    <hyperlink ref="E2" r:id="rId355" xr:uid="{05F5A906-642F-4EA7-9EA1-98574FFBC7BD}"/>
    <hyperlink ref="E3" r:id="rId356" xr:uid="{3C2B21B4-EAB3-44E1-8FBE-FBAC954E6F7C}"/>
    <hyperlink ref="C62" r:id="rId357" xr:uid="{B9DF2810-3069-4483-AA20-12977D70B6D6}"/>
  </hyperlinks>
  <printOptions horizontalCentered="1"/>
  <pageMargins left="0" right="0" top="0" bottom="0" header="0.31496062992125984" footer="0.31496062992125984"/>
  <pageSetup paperSize="9" scale="72" fitToHeight="0" orientation="landscape" r:id="rId358"/>
  <rowBreaks count="2" manualBreakCount="2">
    <brk id="10" min="2" max="13" man="1"/>
    <brk id="18" min="2" max="13" man="1"/>
  </rowBreaks>
  <drawing r:id="rId35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606A4-18FA-4A38-A57F-036B6B851E61}">
  <sheetPr>
    <tabColor rgb="FF92D050"/>
    <pageSetUpPr fitToPage="1"/>
  </sheetPr>
  <dimension ref="A1:Q21"/>
  <sheetViews>
    <sheetView showZeros="0" topLeftCell="M14" zoomScale="78" zoomScaleNormal="78" zoomScaleSheetLayoutView="100" workbookViewId="0">
      <selection activeCell="Q19" sqref="Q19"/>
    </sheetView>
  </sheetViews>
  <sheetFormatPr defaultColWidth="9.28515625" defaultRowHeight="15" outlineLevelCol="1" x14ac:dyDescent="0.2"/>
  <cols>
    <col min="1" max="1" width="2.28515625" style="40" customWidth="1"/>
    <col min="2" max="2" width="32.28515625" style="43" customWidth="1"/>
    <col min="3" max="3" width="22" style="43" customWidth="1" outlineLevel="1"/>
    <col min="4" max="4" width="30.28515625" style="43" customWidth="1" outlineLevel="1"/>
    <col min="5" max="5" width="19.7109375" style="44" customWidth="1" outlineLevel="1"/>
    <col min="6" max="6" width="30.5703125" style="44" customWidth="1" outlineLevel="1"/>
    <col min="7" max="7" width="30.28515625" style="43" customWidth="1" outlineLevel="1"/>
    <col min="8" max="11" width="23.42578125" style="45" customWidth="1"/>
    <col min="12" max="12" width="62.42578125" style="43" customWidth="1"/>
    <col min="13" max="13" width="48.7109375" style="40" customWidth="1"/>
    <col min="14" max="14" width="34.42578125" style="40" customWidth="1"/>
    <col min="15" max="15" width="17.7109375" style="45" customWidth="1"/>
    <col min="16" max="16" width="52" style="40" customWidth="1"/>
    <col min="17" max="17" width="36.5703125" style="40" bestFit="1" customWidth="1"/>
    <col min="18" max="259" width="9.28515625" style="40"/>
    <col min="260" max="260" width="2.28515625" style="40" customWidth="1"/>
    <col min="261" max="261" width="32.28515625" style="40" customWidth="1"/>
    <col min="262" max="267" width="30.28515625" style="40" customWidth="1"/>
    <col min="268" max="268" width="62.42578125" style="40" customWidth="1"/>
    <col min="269" max="269" width="35.28515625" style="40" customWidth="1"/>
    <col min="270" max="270" width="34.42578125" style="40" customWidth="1"/>
    <col min="271" max="515" width="9.28515625" style="40"/>
    <col min="516" max="516" width="2.28515625" style="40" customWidth="1"/>
    <col min="517" max="517" width="32.28515625" style="40" customWidth="1"/>
    <col min="518" max="523" width="30.28515625" style="40" customWidth="1"/>
    <col min="524" max="524" width="62.42578125" style="40" customWidth="1"/>
    <col min="525" max="525" width="35.28515625" style="40" customWidth="1"/>
    <col min="526" max="526" width="34.42578125" style="40" customWidth="1"/>
    <col min="527" max="771" width="9.28515625" style="40"/>
    <col min="772" max="772" width="2.28515625" style="40" customWidth="1"/>
    <col min="773" max="773" width="32.28515625" style="40" customWidth="1"/>
    <col min="774" max="779" width="30.28515625" style="40" customWidth="1"/>
    <col min="780" max="780" width="62.42578125" style="40" customWidth="1"/>
    <col min="781" max="781" width="35.28515625" style="40" customWidth="1"/>
    <col min="782" max="782" width="34.42578125" style="40" customWidth="1"/>
    <col min="783" max="1027" width="9.28515625" style="40"/>
    <col min="1028" max="1028" width="2.28515625" style="40" customWidth="1"/>
    <col min="1029" max="1029" width="32.28515625" style="40" customWidth="1"/>
    <col min="1030" max="1035" width="30.28515625" style="40" customWidth="1"/>
    <col min="1036" max="1036" width="62.42578125" style="40" customWidth="1"/>
    <col min="1037" max="1037" width="35.28515625" style="40" customWidth="1"/>
    <col min="1038" max="1038" width="34.42578125" style="40" customWidth="1"/>
    <col min="1039" max="1283" width="9.28515625" style="40"/>
    <col min="1284" max="1284" width="2.28515625" style="40" customWidth="1"/>
    <col min="1285" max="1285" width="32.28515625" style="40" customWidth="1"/>
    <col min="1286" max="1291" width="30.28515625" style="40" customWidth="1"/>
    <col min="1292" max="1292" width="62.42578125" style="40" customWidth="1"/>
    <col min="1293" max="1293" width="35.28515625" style="40" customWidth="1"/>
    <col min="1294" max="1294" width="34.42578125" style="40" customWidth="1"/>
    <col min="1295" max="1539" width="9.28515625" style="40"/>
    <col min="1540" max="1540" width="2.28515625" style="40" customWidth="1"/>
    <col min="1541" max="1541" width="32.28515625" style="40" customWidth="1"/>
    <col min="1542" max="1547" width="30.28515625" style="40" customWidth="1"/>
    <col min="1548" max="1548" width="62.42578125" style="40" customWidth="1"/>
    <col min="1549" max="1549" width="35.28515625" style="40" customWidth="1"/>
    <col min="1550" max="1550" width="34.42578125" style="40" customWidth="1"/>
    <col min="1551" max="1795" width="9.28515625" style="40"/>
    <col min="1796" max="1796" width="2.28515625" style="40" customWidth="1"/>
    <col min="1797" max="1797" width="32.28515625" style="40" customWidth="1"/>
    <col min="1798" max="1803" width="30.28515625" style="40" customWidth="1"/>
    <col min="1804" max="1804" width="62.42578125" style="40" customWidth="1"/>
    <col min="1805" max="1805" width="35.28515625" style="40" customWidth="1"/>
    <col min="1806" max="1806" width="34.42578125" style="40" customWidth="1"/>
    <col min="1807" max="2051" width="9.28515625" style="40"/>
    <col min="2052" max="2052" width="2.28515625" style="40" customWidth="1"/>
    <col min="2053" max="2053" width="32.28515625" style="40" customWidth="1"/>
    <col min="2054" max="2059" width="30.28515625" style="40" customWidth="1"/>
    <col min="2060" max="2060" width="62.42578125" style="40" customWidth="1"/>
    <col min="2061" max="2061" width="35.28515625" style="40" customWidth="1"/>
    <col min="2062" max="2062" width="34.42578125" style="40" customWidth="1"/>
    <col min="2063" max="2307" width="9.28515625" style="40"/>
    <col min="2308" max="2308" width="2.28515625" style="40" customWidth="1"/>
    <col min="2309" max="2309" width="32.28515625" style="40" customWidth="1"/>
    <col min="2310" max="2315" width="30.28515625" style="40" customWidth="1"/>
    <col min="2316" max="2316" width="62.42578125" style="40" customWidth="1"/>
    <col min="2317" max="2317" width="35.28515625" style="40" customWidth="1"/>
    <col min="2318" max="2318" width="34.42578125" style="40" customWidth="1"/>
    <col min="2319" max="2563" width="9.28515625" style="40"/>
    <col min="2564" max="2564" width="2.28515625" style="40" customWidth="1"/>
    <col min="2565" max="2565" width="32.28515625" style="40" customWidth="1"/>
    <col min="2566" max="2571" width="30.28515625" style="40" customWidth="1"/>
    <col min="2572" max="2572" width="62.42578125" style="40" customWidth="1"/>
    <col min="2573" max="2573" width="35.28515625" style="40" customWidth="1"/>
    <col min="2574" max="2574" width="34.42578125" style="40" customWidth="1"/>
    <col min="2575" max="2819" width="9.28515625" style="40"/>
    <col min="2820" max="2820" width="2.28515625" style="40" customWidth="1"/>
    <col min="2821" max="2821" width="32.28515625" style="40" customWidth="1"/>
    <col min="2822" max="2827" width="30.28515625" style="40" customWidth="1"/>
    <col min="2828" max="2828" width="62.42578125" style="40" customWidth="1"/>
    <col min="2829" max="2829" width="35.28515625" style="40" customWidth="1"/>
    <col min="2830" max="2830" width="34.42578125" style="40" customWidth="1"/>
    <col min="2831" max="3075" width="9.28515625" style="40"/>
    <col min="3076" max="3076" width="2.28515625" style="40" customWidth="1"/>
    <col min="3077" max="3077" width="32.28515625" style="40" customWidth="1"/>
    <col min="3078" max="3083" width="30.28515625" style="40" customWidth="1"/>
    <col min="3084" max="3084" width="62.42578125" style="40" customWidth="1"/>
    <col min="3085" max="3085" width="35.28515625" style="40" customWidth="1"/>
    <col min="3086" max="3086" width="34.42578125" style="40" customWidth="1"/>
    <col min="3087" max="3331" width="9.28515625" style="40"/>
    <col min="3332" max="3332" width="2.28515625" style="40" customWidth="1"/>
    <col min="3333" max="3333" width="32.28515625" style="40" customWidth="1"/>
    <col min="3334" max="3339" width="30.28515625" style="40" customWidth="1"/>
    <col min="3340" max="3340" width="62.42578125" style="40" customWidth="1"/>
    <col min="3341" max="3341" width="35.28515625" style="40" customWidth="1"/>
    <col min="3342" max="3342" width="34.42578125" style="40" customWidth="1"/>
    <col min="3343" max="3587" width="9.28515625" style="40"/>
    <col min="3588" max="3588" width="2.28515625" style="40" customWidth="1"/>
    <col min="3589" max="3589" width="32.28515625" style="40" customWidth="1"/>
    <col min="3590" max="3595" width="30.28515625" style="40" customWidth="1"/>
    <col min="3596" max="3596" width="62.42578125" style="40" customWidth="1"/>
    <col min="3597" max="3597" width="35.28515625" style="40" customWidth="1"/>
    <col min="3598" max="3598" width="34.42578125" style="40" customWidth="1"/>
    <col min="3599" max="3843" width="9.28515625" style="40"/>
    <col min="3844" max="3844" width="2.28515625" style="40" customWidth="1"/>
    <col min="3845" max="3845" width="32.28515625" style="40" customWidth="1"/>
    <col min="3846" max="3851" width="30.28515625" style="40" customWidth="1"/>
    <col min="3852" max="3852" width="62.42578125" style="40" customWidth="1"/>
    <col min="3853" max="3853" width="35.28515625" style="40" customWidth="1"/>
    <col min="3854" max="3854" width="34.42578125" style="40" customWidth="1"/>
    <col min="3855" max="4099" width="9.28515625" style="40"/>
    <col min="4100" max="4100" width="2.28515625" style="40" customWidth="1"/>
    <col min="4101" max="4101" width="32.28515625" style="40" customWidth="1"/>
    <col min="4102" max="4107" width="30.28515625" style="40" customWidth="1"/>
    <col min="4108" max="4108" width="62.42578125" style="40" customWidth="1"/>
    <col min="4109" max="4109" width="35.28515625" style="40" customWidth="1"/>
    <col min="4110" max="4110" width="34.42578125" style="40" customWidth="1"/>
    <col min="4111" max="4355" width="9.28515625" style="40"/>
    <col min="4356" max="4356" width="2.28515625" style="40" customWidth="1"/>
    <col min="4357" max="4357" width="32.28515625" style="40" customWidth="1"/>
    <col min="4358" max="4363" width="30.28515625" style="40" customWidth="1"/>
    <col min="4364" max="4364" width="62.42578125" style="40" customWidth="1"/>
    <col min="4365" max="4365" width="35.28515625" style="40" customWidth="1"/>
    <col min="4366" max="4366" width="34.42578125" style="40" customWidth="1"/>
    <col min="4367" max="4611" width="9.28515625" style="40"/>
    <col min="4612" max="4612" width="2.28515625" style="40" customWidth="1"/>
    <col min="4613" max="4613" width="32.28515625" style="40" customWidth="1"/>
    <col min="4614" max="4619" width="30.28515625" style="40" customWidth="1"/>
    <col min="4620" max="4620" width="62.42578125" style="40" customWidth="1"/>
    <col min="4621" max="4621" width="35.28515625" style="40" customWidth="1"/>
    <col min="4622" max="4622" width="34.42578125" style="40" customWidth="1"/>
    <col min="4623" max="4867" width="9.28515625" style="40"/>
    <col min="4868" max="4868" width="2.28515625" style="40" customWidth="1"/>
    <col min="4869" max="4869" width="32.28515625" style="40" customWidth="1"/>
    <col min="4870" max="4875" width="30.28515625" style="40" customWidth="1"/>
    <col min="4876" max="4876" width="62.42578125" style="40" customWidth="1"/>
    <col min="4877" max="4877" width="35.28515625" style="40" customWidth="1"/>
    <col min="4878" max="4878" width="34.42578125" style="40" customWidth="1"/>
    <col min="4879" max="5123" width="9.28515625" style="40"/>
    <col min="5124" max="5124" width="2.28515625" style="40" customWidth="1"/>
    <col min="5125" max="5125" width="32.28515625" style="40" customWidth="1"/>
    <col min="5126" max="5131" width="30.28515625" style="40" customWidth="1"/>
    <col min="5132" max="5132" width="62.42578125" style="40" customWidth="1"/>
    <col min="5133" max="5133" width="35.28515625" style="40" customWidth="1"/>
    <col min="5134" max="5134" width="34.42578125" style="40" customWidth="1"/>
    <col min="5135" max="5379" width="9.28515625" style="40"/>
    <col min="5380" max="5380" width="2.28515625" style="40" customWidth="1"/>
    <col min="5381" max="5381" width="32.28515625" style="40" customWidth="1"/>
    <col min="5382" max="5387" width="30.28515625" style="40" customWidth="1"/>
    <col min="5388" max="5388" width="62.42578125" style="40" customWidth="1"/>
    <col min="5389" max="5389" width="35.28515625" style="40" customWidth="1"/>
    <col min="5390" max="5390" width="34.42578125" style="40" customWidth="1"/>
    <col min="5391" max="5635" width="9.28515625" style="40"/>
    <col min="5636" max="5636" width="2.28515625" style="40" customWidth="1"/>
    <col min="5637" max="5637" width="32.28515625" style="40" customWidth="1"/>
    <col min="5638" max="5643" width="30.28515625" style="40" customWidth="1"/>
    <col min="5644" max="5644" width="62.42578125" style="40" customWidth="1"/>
    <col min="5645" max="5645" width="35.28515625" style="40" customWidth="1"/>
    <col min="5646" max="5646" width="34.42578125" style="40" customWidth="1"/>
    <col min="5647" max="5891" width="9.28515625" style="40"/>
    <col min="5892" max="5892" width="2.28515625" style="40" customWidth="1"/>
    <col min="5893" max="5893" width="32.28515625" style="40" customWidth="1"/>
    <col min="5894" max="5899" width="30.28515625" style="40" customWidth="1"/>
    <col min="5900" max="5900" width="62.42578125" style="40" customWidth="1"/>
    <col min="5901" max="5901" width="35.28515625" style="40" customWidth="1"/>
    <col min="5902" max="5902" width="34.42578125" style="40" customWidth="1"/>
    <col min="5903" max="6147" width="9.28515625" style="40"/>
    <col min="6148" max="6148" width="2.28515625" style="40" customWidth="1"/>
    <col min="6149" max="6149" width="32.28515625" style="40" customWidth="1"/>
    <col min="6150" max="6155" width="30.28515625" style="40" customWidth="1"/>
    <col min="6156" max="6156" width="62.42578125" style="40" customWidth="1"/>
    <col min="6157" max="6157" width="35.28515625" style="40" customWidth="1"/>
    <col min="6158" max="6158" width="34.42578125" style="40" customWidth="1"/>
    <col min="6159" max="6403" width="9.28515625" style="40"/>
    <col min="6404" max="6404" width="2.28515625" style="40" customWidth="1"/>
    <col min="6405" max="6405" width="32.28515625" style="40" customWidth="1"/>
    <col min="6406" max="6411" width="30.28515625" style="40" customWidth="1"/>
    <col min="6412" max="6412" width="62.42578125" style="40" customWidth="1"/>
    <col min="6413" max="6413" width="35.28515625" style="40" customWidth="1"/>
    <col min="6414" max="6414" width="34.42578125" style="40" customWidth="1"/>
    <col min="6415" max="6659" width="9.28515625" style="40"/>
    <col min="6660" max="6660" width="2.28515625" style="40" customWidth="1"/>
    <col min="6661" max="6661" width="32.28515625" style="40" customWidth="1"/>
    <col min="6662" max="6667" width="30.28515625" style="40" customWidth="1"/>
    <col min="6668" max="6668" width="62.42578125" style="40" customWidth="1"/>
    <col min="6669" max="6669" width="35.28515625" style="40" customWidth="1"/>
    <col min="6670" max="6670" width="34.42578125" style="40" customWidth="1"/>
    <col min="6671" max="6915" width="9.28515625" style="40"/>
    <col min="6916" max="6916" width="2.28515625" style="40" customWidth="1"/>
    <col min="6917" max="6917" width="32.28515625" style="40" customWidth="1"/>
    <col min="6918" max="6923" width="30.28515625" style="40" customWidth="1"/>
    <col min="6924" max="6924" width="62.42578125" style="40" customWidth="1"/>
    <col min="6925" max="6925" width="35.28515625" style="40" customWidth="1"/>
    <col min="6926" max="6926" width="34.42578125" style="40" customWidth="1"/>
    <col min="6927" max="7171" width="9.28515625" style="40"/>
    <col min="7172" max="7172" width="2.28515625" style="40" customWidth="1"/>
    <col min="7173" max="7173" width="32.28515625" style="40" customWidth="1"/>
    <col min="7174" max="7179" width="30.28515625" style="40" customWidth="1"/>
    <col min="7180" max="7180" width="62.42578125" style="40" customWidth="1"/>
    <col min="7181" max="7181" width="35.28515625" style="40" customWidth="1"/>
    <col min="7182" max="7182" width="34.42578125" style="40" customWidth="1"/>
    <col min="7183" max="7427" width="9.28515625" style="40"/>
    <col min="7428" max="7428" width="2.28515625" style="40" customWidth="1"/>
    <col min="7429" max="7429" width="32.28515625" style="40" customWidth="1"/>
    <col min="7430" max="7435" width="30.28515625" style="40" customWidth="1"/>
    <col min="7436" max="7436" width="62.42578125" style="40" customWidth="1"/>
    <col min="7437" max="7437" width="35.28515625" style="40" customWidth="1"/>
    <col min="7438" max="7438" width="34.42578125" style="40" customWidth="1"/>
    <col min="7439" max="7683" width="9.28515625" style="40"/>
    <col min="7684" max="7684" width="2.28515625" style="40" customWidth="1"/>
    <col min="7685" max="7685" width="32.28515625" style="40" customWidth="1"/>
    <col min="7686" max="7691" width="30.28515625" style="40" customWidth="1"/>
    <col min="7692" max="7692" width="62.42578125" style="40" customWidth="1"/>
    <col min="7693" max="7693" width="35.28515625" style="40" customWidth="1"/>
    <col min="7694" max="7694" width="34.42578125" style="40" customWidth="1"/>
    <col min="7695" max="7939" width="9.28515625" style="40"/>
    <col min="7940" max="7940" width="2.28515625" style="40" customWidth="1"/>
    <col min="7941" max="7941" width="32.28515625" style="40" customWidth="1"/>
    <col min="7942" max="7947" width="30.28515625" style="40" customWidth="1"/>
    <col min="7948" max="7948" width="62.42578125" style="40" customWidth="1"/>
    <col min="7949" max="7949" width="35.28515625" style="40" customWidth="1"/>
    <col min="7950" max="7950" width="34.42578125" style="40" customWidth="1"/>
    <col min="7951" max="8195" width="9.28515625" style="40"/>
    <col min="8196" max="8196" width="2.28515625" style="40" customWidth="1"/>
    <col min="8197" max="8197" width="32.28515625" style="40" customWidth="1"/>
    <col min="8198" max="8203" width="30.28515625" style="40" customWidth="1"/>
    <col min="8204" max="8204" width="62.42578125" style="40" customWidth="1"/>
    <col min="8205" max="8205" width="35.28515625" style="40" customWidth="1"/>
    <col min="8206" max="8206" width="34.42578125" style="40" customWidth="1"/>
    <col min="8207" max="8451" width="9.28515625" style="40"/>
    <col min="8452" max="8452" width="2.28515625" style="40" customWidth="1"/>
    <col min="8453" max="8453" width="32.28515625" style="40" customWidth="1"/>
    <col min="8454" max="8459" width="30.28515625" style="40" customWidth="1"/>
    <col min="8460" max="8460" width="62.42578125" style="40" customWidth="1"/>
    <col min="8461" max="8461" width="35.28515625" style="40" customWidth="1"/>
    <col min="8462" max="8462" width="34.42578125" style="40" customWidth="1"/>
    <col min="8463" max="8707" width="9.28515625" style="40"/>
    <col min="8708" max="8708" width="2.28515625" style="40" customWidth="1"/>
    <col min="8709" max="8709" width="32.28515625" style="40" customWidth="1"/>
    <col min="8710" max="8715" width="30.28515625" style="40" customWidth="1"/>
    <col min="8716" max="8716" width="62.42578125" style="40" customWidth="1"/>
    <col min="8717" max="8717" width="35.28515625" style="40" customWidth="1"/>
    <col min="8718" max="8718" width="34.42578125" style="40" customWidth="1"/>
    <col min="8719" max="8963" width="9.28515625" style="40"/>
    <col min="8964" max="8964" width="2.28515625" style="40" customWidth="1"/>
    <col min="8965" max="8965" width="32.28515625" style="40" customWidth="1"/>
    <col min="8966" max="8971" width="30.28515625" style="40" customWidth="1"/>
    <col min="8972" max="8972" width="62.42578125" style="40" customWidth="1"/>
    <col min="8973" max="8973" width="35.28515625" style="40" customWidth="1"/>
    <col min="8974" max="8974" width="34.42578125" style="40" customWidth="1"/>
    <col min="8975" max="9219" width="9.28515625" style="40"/>
    <col min="9220" max="9220" width="2.28515625" style="40" customWidth="1"/>
    <col min="9221" max="9221" width="32.28515625" style="40" customWidth="1"/>
    <col min="9222" max="9227" width="30.28515625" style="40" customWidth="1"/>
    <col min="9228" max="9228" width="62.42578125" style="40" customWidth="1"/>
    <col min="9229" max="9229" width="35.28515625" style="40" customWidth="1"/>
    <col min="9230" max="9230" width="34.42578125" style="40" customWidth="1"/>
    <col min="9231" max="9475" width="9.28515625" style="40"/>
    <col min="9476" max="9476" width="2.28515625" style="40" customWidth="1"/>
    <col min="9477" max="9477" width="32.28515625" style="40" customWidth="1"/>
    <col min="9478" max="9483" width="30.28515625" style="40" customWidth="1"/>
    <col min="9484" max="9484" width="62.42578125" style="40" customWidth="1"/>
    <col min="9485" max="9485" width="35.28515625" style="40" customWidth="1"/>
    <col min="9486" max="9486" width="34.42578125" style="40" customWidth="1"/>
    <col min="9487" max="9731" width="9.28515625" style="40"/>
    <col min="9732" max="9732" width="2.28515625" style="40" customWidth="1"/>
    <col min="9733" max="9733" width="32.28515625" style="40" customWidth="1"/>
    <col min="9734" max="9739" width="30.28515625" style="40" customWidth="1"/>
    <col min="9740" max="9740" width="62.42578125" style="40" customWidth="1"/>
    <col min="9741" max="9741" width="35.28515625" style="40" customWidth="1"/>
    <col min="9742" max="9742" width="34.42578125" style="40" customWidth="1"/>
    <col min="9743" max="9987" width="9.28515625" style="40"/>
    <col min="9988" max="9988" width="2.28515625" style="40" customWidth="1"/>
    <col min="9989" max="9989" width="32.28515625" style="40" customWidth="1"/>
    <col min="9990" max="9995" width="30.28515625" style="40" customWidth="1"/>
    <col min="9996" max="9996" width="62.42578125" style="40" customWidth="1"/>
    <col min="9997" max="9997" width="35.28515625" style="40" customWidth="1"/>
    <col min="9998" max="9998" width="34.42578125" style="40" customWidth="1"/>
    <col min="9999" max="10243" width="9.28515625" style="40"/>
    <col min="10244" max="10244" width="2.28515625" style="40" customWidth="1"/>
    <col min="10245" max="10245" width="32.28515625" style="40" customWidth="1"/>
    <col min="10246" max="10251" width="30.28515625" style="40" customWidth="1"/>
    <col min="10252" max="10252" width="62.42578125" style="40" customWidth="1"/>
    <col min="10253" max="10253" width="35.28515625" style="40" customWidth="1"/>
    <col min="10254" max="10254" width="34.42578125" style="40" customWidth="1"/>
    <col min="10255" max="10499" width="9.28515625" style="40"/>
    <col min="10500" max="10500" width="2.28515625" style="40" customWidth="1"/>
    <col min="10501" max="10501" width="32.28515625" style="40" customWidth="1"/>
    <col min="10502" max="10507" width="30.28515625" style="40" customWidth="1"/>
    <col min="10508" max="10508" width="62.42578125" style="40" customWidth="1"/>
    <col min="10509" max="10509" width="35.28515625" style="40" customWidth="1"/>
    <col min="10510" max="10510" width="34.42578125" style="40" customWidth="1"/>
    <col min="10511" max="10755" width="9.28515625" style="40"/>
    <col min="10756" max="10756" width="2.28515625" style="40" customWidth="1"/>
    <col min="10757" max="10757" width="32.28515625" style="40" customWidth="1"/>
    <col min="10758" max="10763" width="30.28515625" style="40" customWidth="1"/>
    <col min="10764" max="10764" width="62.42578125" style="40" customWidth="1"/>
    <col min="10765" max="10765" width="35.28515625" style="40" customWidth="1"/>
    <col min="10766" max="10766" width="34.42578125" style="40" customWidth="1"/>
    <col min="10767" max="11011" width="9.28515625" style="40"/>
    <col min="11012" max="11012" width="2.28515625" style="40" customWidth="1"/>
    <col min="11013" max="11013" width="32.28515625" style="40" customWidth="1"/>
    <col min="11014" max="11019" width="30.28515625" style="40" customWidth="1"/>
    <col min="11020" max="11020" width="62.42578125" style="40" customWidth="1"/>
    <col min="11021" max="11021" width="35.28515625" style="40" customWidth="1"/>
    <col min="11022" max="11022" width="34.42578125" style="40" customWidth="1"/>
    <col min="11023" max="11267" width="9.28515625" style="40"/>
    <col min="11268" max="11268" width="2.28515625" style="40" customWidth="1"/>
    <col min="11269" max="11269" width="32.28515625" style="40" customWidth="1"/>
    <col min="11270" max="11275" width="30.28515625" style="40" customWidth="1"/>
    <col min="11276" max="11276" width="62.42578125" style="40" customWidth="1"/>
    <col min="11277" max="11277" width="35.28515625" style="40" customWidth="1"/>
    <col min="11278" max="11278" width="34.42578125" style="40" customWidth="1"/>
    <col min="11279" max="11523" width="9.28515625" style="40"/>
    <col min="11524" max="11524" width="2.28515625" style="40" customWidth="1"/>
    <col min="11525" max="11525" width="32.28515625" style="40" customWidth="1"/>
    <col min="11526" max="11531" width="30.28515625" style="40" customWidth="1"/>
    <col min="11532" max="11532" width="62.42578125" style="40" customWidth="1"/>
    <col min="11533" max="11533" width="35.28515625" style="40" customWidth="1"/>
    <col min="11534" max="11534" width="34.42578125" style="40" customWidth="1"/>
    <col min="11535" max="11779" width="9.28515625" style="40"/>
    <col min="11780" max="11780" width="2.28515625" style="40" customWidth="1"/>
    <col min="11781" max="11781" width="32.28515625" style="40" customWidth="1"/>
    <col min="11782" max="11787" width="30.28515625" style="40" customWidth="1"/>
    <col min="11788" max="11788" width="62.42578125" style="40" customWidth="1"/>
    <col min="11789" max="11789" width="35.28515625" style="40" customWidth="1"/>
    <col min="11790" max="11790" width="34.42578125" style="40" customWidth="1"/>
    <col min="11791" max="12035" width="9.28515625" style="40"/>
    <col min="12036" max="12036" width="2.28515625" style="40" customWidth="1"/>
    <col min="12037" max="12037" width="32.28515625" style="40" customWidth="1"/>
    <col min="12038" max="12043" width="30.28515625" style="40" customWidth="1"/>
    <col min="12044" max="12044" width="62.42578125" style="40" customWidth="1"/>
    <col min="12045" max="12045" width="35.28515625" style="40" customWidth="1"/>
    <col min="12046" max="12046" width="34.42578125" style="40" customWidth="1"/>
    <col min="12047" max="12291" width="9.28515625" style="40"/>
    <col min="12292" max="12292" width="2.28515625" style="40" customWidth="1"/>
    <col min="12293" max="12293" width="32.28515625" style="40" customWidth="1"/>
    <col min="12294" max="12299" width="30.28515625" style="40" customWidth="1"/>
    <col min="12300" max="12300" width="62.42578125" style="40" customWidth="1"/>
    <col min="12301" max="12301" width="35.28515625" style="40" customWidth="1"/>
    <col min="12302" max="12302" width="34.42578125" style="40" customWidth="1"/>
    <col min="12303" max="12547" width="9.28515625" style="40"/>
    <col min="12548" max="12548" width="2.28515625" style="40" customWidth="1"/>
    <col min="12549" max="12549" width="32.28515625" style="40" customWidth="1"/>
    <col min="12550" max="12555" width="30.28515625" style="40" customWidth="1"/>
    <col min="12556" max="12556" width="62.42578125" style="40" customWidth="1"/>
    <col min="12557" max="12557" width="35.28515625" style="40" customWidth="1"/>
    <col min="12558" max="12558" width="34.42578125" style="40" customWidth="1"/>
    <col min="12559" max="12803" width="9.28515625" style="40"/>
    <col min="12804" max="12804" width="2.28515625" style="40" customWidth="1"/>
    <col min="12805" max="12805" width="32.28515625" style="40" customWidth="1"/>
    <col min="12806" max="12811" width="30.28515625" style="40" customWidth="1"/>
    <col min="12812" max="12812" width="62.42578125" style="40" customWidth="1"/>
    <col min="12813" max="12813" width="35.28515625" style="40" customWidth="1"/>
    <col min="12814" max="12814" width="34.42578125" style="40" customWidth="1"/>
    <col min="12815" max="13059" width="9.28515625" style="40"/>
    <col min="13060" max="13060" width="2.28515625" style="40" customWidth="1"/>
    <col min="13061" max="13061" width="32.28515625" style="40" customWidth="1"/>
    <col min="13062" max="13067" width="30.28515625" style="40" customWidth="1"/>
    <col min="13068" max="13068" width="62.42578125" style="40" customWidth="1"/>
    <col min="13069" max="13069" width="35.28515625" style="40" customWidth="1"/>
    <col min="13070" max="13070" width="34.42578125" style="40" customWidth="1"/>
    <col min="13071" max="13315" width="9.28515625" style="40"/>
    <col min="13316" max="13316" width="2.28515625" style="40" customWidth="1"/>
    <col min="13317" max="13317" width="32.28515625" style="40" customWidth="1"/>
    <col min="13318" max="13323" width="30.28515625" style="40" customWidth="1"/>
    <col min="13324" max="13324" width="62.42578125" style="40" customWidth="1"/>
    <col min="13325" max="13325" width="35.28515625" style="40" customWidth="1"/>
    <col min="13326" max="13326" width="34.42578125" style="40" customWidth="1"/>
    <col min="13327" max="13571" width="9.28515625" style="40"/>
    <col min="13572" max="13572" width="2.28515625" style="40" customWidth="1"/>
    <col min="13573" max="13573" width="32.28515625" style="40" customWidth="1"/>
    <col min="13574" max="13579" width="30.28515625" style="40" customWidth="1"/>
    <col min="13580" max="13580" width="62.42578125" style="40" customWidth="1"/>
    <col min="13581" max="13581" width="35.28515625" style="40" customWidth="1"/>
    <col min="13582" max="13582" width="34.42578125" style="40" customWidth="1"/>
    <col min="13583" max="13827" width="9.28515625" style="40"/>
    <col min="13828" max="13828" width="2.28515625" style="40" customWidth="1"/>
    <col min="13829" max="13829" width="32.28515625" style="40" customWidth="1"/>
    <col min="13830" max="13835" width="30.28515625" style="40" customWidth="1"/>
    <col min="13836" max="13836" width="62.42578125" style="40" customWidth="1"/>
    <col min="13837" max="13837" width="35.28515625" style="40" customWidth="1"/>
    <col min="13838" max="13838" width="34.42578125" style="40" customWidth="1"/>
    <col min="13839" max="14083" width="9.28515625" style="40"/>
    <col min="14084" max="14084" width="2.28515625" style="40" customWidth="1"/>
    <col min="14085" max="14085" width="32.28515625" style="40" customWidth="1"/>
    <col min="14086" max="14091" width="30.28515625" style="40" customWidth="1"/>
    <col min="14092" max="14092" width="62.42578125" style="40" customWidth="1"/>
    <col min="14093" max="14093" width="35.28515625" style="40" customWidth="1"/>
    <col min="14094" max="14094" width="34.42578125" style="40" customWidth="1"/>
    <col min="14095" max="14339" width="9.28515625" style="40"/>
    <col min="14340" max="14340" width="2.28515625" style="40" customWidth="1"/>
    <col min="14341" max="14341" width="32.28515625" style="40" customWidth="1"/>
    <col min="14342" max="14347" width="30.28515625" style="40" customWidth="1"/>
    <col min="14348" max="14348" width="62.42578125" style="40" customWidth="1"/>
    <col min="14349" max="14349" width="35.28515625" style="40" customWidth="1"/>
    <col min="14350" max="14350" width="34.42578125" style="40" customWidth="1"/>
    <col min="14351" max="14595" width="9.28515625" style="40"/>
    <col min="14596" max="14596" width="2.28515625" style="40" customWidth="1"/>
    <col min="14597" max="14597" width="32.28515625" style="40" customWidth="1"/>
    <col min="14598" max="14603" width="30.28515625" style="40" customWidth="1"/>
    <col min="14604" max="14604" width="62.42578125" style="40" customWidth="1"/>
    <col min="14605" max="14605" width="35.28515625" style="40" customWidth="1"/>
    <col min="14606" max="14606" width="34.42578125" style="40" customWidth="1"/>
    <col min="14607" max="14851" width="9.28515625" style="40"/>
    <col min="14852" max="14852" width="2.28515625" style="40" customWidth="1"/>
    <col min="14853" max="14853" width="32.28515625" style="40" customWidth="1"/>
    <col min="14854" max="14859" width="30.28515625" style="40" customWidth="1"/>
    <col min="14860" max="14860" width="62.42578125" style="40" customWidth="1"/>
    <col min="14861" max="14861" width="35.28515625" style="40" customWidth="1"/>
    <col min="14862" max="14862" width="34.42578125" style="40" customWidth="1"/>
    <col min="14863" max="15107" width="9.28515625" style="40"/>
    <col min="15108" max="15108" width="2.28515625" style="40" customWidth="1"/>
    <col min="15109" max="15109" width="32.28515625" style="40" customWidth="1"/>
    <col min="15110" max="15115" width="30.28515625" style="40" customWidth="1"/>
    <col min="15116" max="15116" width="62.42578125" style="40" customWidth="1"/>
    <col min="15117" max="15117" width="35.28515625" style="40" customWidth="1"/>
    <col min="15118" max="15118" width="34.42578125" style="40" customWidth="1"/>
    <col min="15119" max="15363" width="9.28515625" style="40"/>
    <col min="15364" max="15364" width="2.28515625" style="40" customWidth="1"/>
    <col min="15365" max="15365" width="32.28515625" style="40" customWidth="1"/>
    <col min="15366" max="15371" width="30.28515625" style="40" customWidth="1"/>
    <col min="15372" max="15372" width="62.42578125" style="40" customWidth="1"/>
    <col min="15373" max="15373" width="35.28515625" style="40" customWidth="1"/>
    <col min="15374" max="15374" width="34.42578125" style="40" customWidth="1"/>
    <col min="15375" max="15619" width="9.28515625" style="40"/>
    <col min="15620" max="15620" width="2.28515625" style="40" customWidth="1"/>
    <col min="15621" max="15621" width="32.28515625" style="40" customWidth="1"/>
    <col min="15622" max="15627" width="30.28515625" style="40" customWidth="1"/>
    <col min="15628" max="15628" width="62.42578125" style="40" customWidth="1"/>
    <col min="15629" max="15629" width="35.28515625" style="40" customWidth="1"/>
    <col min="15630" max="15630" width="34.42578125" style="40" customWidth="1"/>
    <col min="15631" max="15875" width="9.28515625" style="40"/>
    <col min="15876" max="15876" width="2.28515625" style="40" customWidth="1"/>
    <col min="15877" max="15877" width="32.28515625" style="40" customWidth="1"/>
    <col min="15878" max="15883" width="30.28515625" style="40" customWidth="1"/>
    <col min="15884" max="15884" width="62.42578125" style="40" customWidth="1"/>
    <col min="15885" max="15885" width="35.28515625" style="40" customWidth="1"/>
    <col min="15886" max="15886" width="34.42578125" style="40" customWidth="1"/>
    <col min="15887" max="16131" width="9.28515625" style="40"/>
    <col min="16132" max="16132" width="2.28515625" style="40" customWidth="1"/>
    <col min="16133" max="16133" width="32.28515625" style="40" customWidth="1"/>
    <col min="16134" max="16139" width="30.28515625" style="40" customWidth="1"/>
    <col min="16140" max="16140" width="62.42578125" style="40" customWidth="1"/>
    <col min="16141" max="16141" width="35.28515625" style="40" customWidth="1"/>
    <col min="16142" max="16142" width="34.42578125" style="40" customWidth="1"/>
    <col min="16143" max="16384" width="9.28515625" style="40"/>
  </cols>
  <sheetData>
    <row r="1" spans="1:17" ht="7.5" customHeight="1" x14ac:dyDescent="0.25">
      <c r="A1" s="35"/>
      <c r="B1" s="36"/>
      <c r="C1" s="37"/>
      <c r="D1" s="37"/>
      <c r="E1" s="38"/>
      <c r="F1" s="38"/>
      <c r="G1" s="37"/>
      <c r="H1" s="39"/>
      <c r="I1" s="39"/>
      <c r="J1" s="39"/>
      <c r="K1" s="39"/>
      <c r="L1" s="37"/>
    </row>
    <row r="2" spans="1:17" ht="17.25" customHeight="1" x14ac:dyDescent="0.2">
      <c r="A2" s="41"/>
      <c r="B2" s="42"/>
    </row>
    <row r="3" spans="1:17" ht="25.5" customHeight="1" x14ac:dyDescent="0.2">
      <c r="A3" s="41"/>
      <c r="B3" s="133" t="s">
        <v>0</v>
      </c>
      <c r="C3" s="133"/>
      <c r="D3" s="133"/>
      <c r="E3" s="133"/>
      <c r="F3" s="133"/>
      <c r="G3" s="133"/>
      <c r="H3" s="133"/>
      <c r="I3" s="133"/>
      <c r="J3" s="133"/>
      <c r="K3" s="133"/>
      <c r="L3" s="133"/>
      <c r="M3" s="133"/>
      <c r="N3" s="133"/>
      <c r="O3" s="133"/>
      <c r="P3" s="133"/>
    </row>
    <row r="4" spans="1:17" ht="9.75" customHeight="1" x14ac:dyDescent="0.2">
      <c r="A4" s="41"/>
      <c r="B4" s="42"/>
    </row>
    <row r="5" spans="1:17" ht="33" customHeight="1" x14ac:dyDescent="0.2">
      <c r="B5" s="46" t="s">
        <v>1</v>
      </c>
      <c r="C5" s="143" t="s">
        <v>2</v>
      </c>
      <c r="D5" s="143" t="s">
        <v>3</v>
      </c>
      <c r="E5" s="143" t="s">
        <v>4</v>
      </c>
      <c r="F5" s="143" t="s">
        <v>5</v>
      </c>
      <c r="G5" s="47" t="s">
        <v>6</v>
      </c>
      <c r="H5" s="47" t="s">
        <v>7</v>
      </c>
      <c r="I5" s="47" t="s">
        <v>1915</v>
      </c>
      <c r="J5" s="47" t="s">
        <v>1916</v>
      </c>
      <c r="K5" s="47" t="s">
        <v>1917</v>
      </c>
      <c r="L5" s="47" t="s">
        <v>8</v>
      </c>
      <c r="M5" s="47" t="s">
        <v>9</v>
      </c>
      <c r="N5" s="47" t="s">
        <v>10</v>
      </c>
      <c r="O5" s="47" t="s">
        <v>11</v>
      </c>
      <c r="P5" s="47" t="s">
        <v>12</v>
      </c>
      <c r="Q5" s="89" t="s">
        <v>13</v>
      </c>
    </row>
    <row r="6" spans="1:17" s="55" customFormat="1" ht="50.25" customHeight="1" x14ac:dyDescent="0.2">
      <c r="B6" s="48" t="s">
        <v>14</v>
      </c>
      <c r="C6" s="56" t="s">
        <v>15</v>
      </c>
      <c r="D6" t="s">
        <v>16</v>
      </c>
      <c r="E6" s="57" t="s">
        <v>17</v>
      </c>
      <c r="F6" s="87" t="s">
        <v>18</v>
      </c>
      <c r="G6" s="56" t="s">
        <v>19</v>
      </c>
      <c r="H6" s="85" t="s">
        <v>20</v>
      </c>
      <c r="I6" s="85">
        <v>100000000</v>
      </c>
      <c r="J6" s="85">
        <v>500000000</v>
      </c>
      <c r="K6" s="85"/>
      <c r="L6" s="86" t="s">
        <v>21</v>
      </c>
      <c r="M6" s="56" t="s">
        <v>22</v>
      </c>
      <c r="N6" s="56" t="s">
        <v>23</v>
      </c>
      <c r="O6" s="58" t="s">
        <v>24</v>
      </c>
      <c r="P6" s="59" t="s">
        <v>25</v>
      </c>
    </row>
    <row r="7" spans="1:17" s="55" customFormat="1" ht="95.45" customHeight="1" x14ac:dyDescent="0.2">
      <c r="B7" s="45" t="s">
        <v>26</v>
      </c>
      <c r="C7" s="56" t="s">
        <v>27</v>
      </c>
      <c r="D7" t="s">
        <v>28</v>
      </c>
      <c r="E7" s="57" t="s">
        <v>29</v>
      </c>
      <c r="F7" t="s">
        <v>30</v>
      </c>
      <c r="G7" s="56" t="s">
        <v>31</v>
      </c>
      <c r="H7" s="48" t="s">
        <v>32</v>
      </c>
      <c r="I7" s="48">
        <v>2000000</v>
      </c>
      <c r="J7" s="48">
        <v>50000000</v>
      </c>
      <c r="K7" s="48"/>
      <c r="L7" s="56" t="s">
        <v>33</v>
      </c>
      <c r="M7" s="56" t="s">
        <v>34</v>
      </c>
      <c r="N7" s="56" t="s">
        <v>26</v>
      </c>
      <c r="O7" s="58" t="s">
        <v>24</v>
      </c>
      <c r="P7" s="59" t="s">
        <v>35</v>
      </c>
    </row>
    <row r="8" spans="1:17" s="55" customFormat="1" ht="69" customHeight="1" x14ac:dyDescent="0.2">
      <c r="B8" s="45" t="s">
        <v>36</v>
      </c>
      <c r="C8" s="56" t="s">
        <v>37</v>
      </c>
      <c r="D8" s="86" t="s">
        <v>38</v>
      </c>
      <c r="E8" s="88" t="s">
        <v>39</v>
      </c>
      <c r="F8" s="57"/>
      <c r="G8" s="56" t="s">
        <v>40</v>
      </c>
      <c r="H8" s="90" t="s">
        <v>41</v>
      </c>
      <c r="I8" s="90">
        <v>25000000</v>
      </c>
      <c r="J8" s="90">
        <v>100000000</v>
      </c>
      <c r="K8" s="90" t="s">
        <v>1928</v>
      </c>
      <c r="L8" s="56" t="s">
        <v>42</v>
      </c>
      <c r="M8" s="56" t="s">
        <v>43</v>
      </c>
      <c r="N8" s="56" t="s">
        <v>44</v>
      </c>
      <c r="O8" s="58" t="s">
        <v>24</v>
      </c>
      <c r="P8" s="59" t="s">
        <v>45</v>
      </c>
    </row>
    <row r="9" spans="1:17" s="55" customFormat="1" ht="68.25" customHeight="1" x14ac:dyDescent="0.2">
      <c r="B9" s="48" t="s">
        <v>46</v>
      </c>
      <c r="C9" s="56" t="s">
        <v>47</v>
      </c>
      <c r="D9" s="56" t="s">
        <v>48</v>
      </c>
      <c r="E9" s="57" t="s">
        <v>49</v>
      </c>
      <c r="F9" s="57" t="s">
        <v>50</v>
      </c>
      <c r="G9" s="56" t="s">
        <v>51</v>
      </c>
      <c r="H9" s="48" t="s">
        <v>32</v>
      </c>
      <c r="I9" s="48">
        <v>2000000</v>
      </c>
      <c r="J9" s="48">
        <v>50000000</v>
      </c>
      <c r="K9" s="48"/>
      <c r="L9" s="56" t="s">
        <v>52</v>
      </c>
      <c r="M9" s="56" t="s">
        <v>53</v>
      </c>
      <c r="N9" s="56" t="s">
        <v>54</v>
      </c>
      <c r="O9" s="58" t="s">
        <v>24</v>
      </c>
      <c r="P9" s="59" t="s">
        <v>55</v>
      </c>
    </row>
    <row r="10" spans="1:17" s="49" customFormat="1" ht="115.5" customHeight="1" x14ac:dyDescent="0.2">
      <c r="B10" s="48" t="s">
        <v>56</v>
      </c>
      <c r="C10" s="56" t="s">
        <v>57</v>
      </c>
      <c r="D10" s="56" t="s">
        <v>58</v>
      </c>
      <c r="E10" s="57" t="s">
        <v>59</v>
      </c>
      <c r="F10" s="57" t="s">
        <v>57</v>
      </c>
      <c r="G10" s="56" t="s">
        <v>60</v>
      </c>
      <c r="H10" s="85" t="s">
        <v>61</v>
      </c>
      <c r="I10" s="85">
        <v>500000</v>
      </c>
      <c r="J10" s="85">
        <v>5000000</v>
      </c>
      <c r="K10" s="85"/>
      <c r="L10" s="56" t="s">
        <v>62</v>
      </c>
      <c r="M10" s="56" t="s">
        <v>63</v>
      </c>
      <c r="N10" s="56" t="s">
        <v>64</v>
      </c>
      <c r="O10" s="58" t="s">
        <v>24</v>
      </c>
      <c r="P10" s="59" t="s">
        <v>65</v>
      </c>
      <c r="Q10" s="86" t="s">
        <v>66</v>
      </c>
    </row>
    <row r="11" spans="1:17" s="49" customFormat="1" ht="66.75" customHeight="1" x14ac:dyDescent="0.2">
      <c r="B11" s="48" t="s">
        <v>67</v>
      </c>
      <c r="C11" s="56" t="s">
        <v>68</v>
      </c>
      <c r="D11" s="86" t="s">
        <v>69</v>
      </c>
      <c r="E11" s="57" t="s">
        <v>70</v>
      </c>
      <c r="F11" s="57" t="s">
        <v>71</v>
      </c>
      <c r="G11" s="86" t="s">
        <v>72</v>
      </c>
      <c r="H11" s="85" t="s">
        <v>73</v>
      </c>
      <c r="I11" s="85">
        <v>0</v>
      </c>
      <c r="J11" s="85">
        <v>300000000</v>
      </c>
      <c r="K11" s="85"/>
      <c r="L11" s="56" t="s">
        <v>74</v>
      </c>
      <c r="M11" s="56" t="s">
        <v>75</v>
      </c>
      <c r="N11" s="56" t="s">
        <v>76</v>
      </c>
      <c r="O11" s="58" t="s">
        <v>24</v>
      </c>
      <c r="P11" s="59" t="s">
        <v>77</v>
      </c>
    </row>
    <row r="12" spans="1:17" s="49" customFormat="1" ht="143.25" customHeight="1" x14ac:dyDescent="0.2">
      <c r="B12" s="48" t="s">
        <v>78</v>
      </c>
      <c r="C12" s="56" t="s">
        <v>79</v>
      </c>
      <c r="D12" s="86" t="s">
        <v>80</v>
      </c>
      <c r="E12" s="57" t="s">
        <v>81</v>
      </c>
      <c r="F12" s="57" t="s">
        <v>82</v>
      </c>
      <c r="G12" s="56" t="s">
        <v>83</v>
      </c>
      <c r="H12" s="85" t="s">
        <v>84</v>
      </c>
      <c r="I12" s="85">
        <v>75000000</v>
      </c>
      <c r="J12" s="85">
        <v>500000000</v>
      </c>
      <c r="K12" s="85" t="s">
        <v>1928</v>
      </c>
      <c r="L12" s="56" t="s">
        <v>85</v>
      </c>
      <c r="M12" s="56" t="s">
        <v>86</v>
      </c>
      <c r="N12" s="56" t="s">
        <v>87</v>
      </c>
      <c r="O12" s="58" t="s">
        <v>24</v>
      </c>
      <c r="P12" s="59" t="s">
        <v>88</v>
      </c>
    </row>
    <row r="13" spans="1:17" s="49" customFormat="1" ht="42.75" customHeight="1" x14ac:dyDescent="0.2">
      <c r="B13" s="48" t="s">
        <v>89</v>
      </c>
      <c r="C13" s="56" t="s">
        <v>90</v>
      </c>
      <c r="D13" s="56"/>
      <c r="E13" s="57" t="s">
        <v>91</v>
      </c>
      <c r="F13" s="57" t="s">
        <v>92</v>
      </c>
      <c r="G13" s="56"/>
      <c r="H13" s="85" t="s">
        <v>93</v>
      </c>
      <c r="I13" s="85">
        <v>50000000</v>
      </c>
      <c r="J13" s="85">
        <v>300000000</v>
      </c>
      <c r="K13" s="85"/>
      <c r="L13" s="86" t="s">
        <v>94</v>
      </c>
      <c r="M13" s="56" t="s">
        <v>95</v>
      </c>
      <c r="N13" s="56" t="s">
        <v>96</v>
      </c>
      <c r="O13" s="58" t="s">
        <v>24</v>
      </c>
      <c r="P13" s="59" t="s">
        <v>97</v>
      </c>
    </row>
    <row r="14" spans="1:17" s="49" customFormat="1" ht="65.25" customHeight="1" x14ac:dyDescent="0.2">
      <c r="B14" s="48" t="s">
        <v>98</v>
      </c>
      <c r="C14" s="56"/>
      <c r="D14" s="56" t="s">
        <v>99</v>
      </c>
      <c r="E14" s="57">
        <v>917378195</v>
      </c>
      <c r="F14" t="s">
        <v>100</v>
      </c>
      <c r="G14" s="86" t="s">
        <v>101</v>
      </c>
      <c r="H14" s="48" t="s">
        <v>102</v>
      </c>
      <c r="I14" s="48">
        <v>8000000</v>
      </c>
      <c r="J14" s="48">
        <v>20000000</v>
      </c>
      <c r="K14" s="48"/>
      <c r="L14" s="56" t="s">
        <v>103</v>
      </c>
      <c r="M14" s="56" t="s">
        <v>104</v>
      </c>
      <c r="N14" s="56" t="s">
        <v>105</v>
      </c>
      <c r="O14" s="48" t="s">
        <v>106</v>
      </c>
      <c r="Q14" s="86" t="s">
        <v>107</v>
      </c>
    </row>
    <row r="15" spans="1:17" s="49" customFormat="1" ht="51" customHeight="1" x14ac:dyDescent="0.2">
      <c r="B15" s="48" t="s">
        <v>108</v>
      </c>
      <c r="C15" s="56" t="s">
        <v>109</v>
      </c>
      <c r="D15" s="56"/>
      <c r="E15" s="57" t="s">
        <v>110</v>
      </c>
      <c r="F15"/>
      <c r="G15" s="56"/>
      <c r="H15" s="90" t="s">
        <v>111</v>
      </c>
      <c r="I15" s="90">
        <v>100000000</v>
      </c>
      <c r="J15" s="90">
        <v>200000000</v>
      </c>
      <c r="K15" s="90" t="s">
        <v>111</v>
      </c>
      <c r="L15" s="86" t="s">
        <v>112</v>
      </c>
      <c r="M15" s="56" t="s">
        <v>113</v>
      </c>
      <c r="N15" s="56" t="s">
        <v>114</v>
      </c>
      <c r="O15" s="58" t="s">
        <v>24</v>
      </c>
      <c r="P15" s="59" t="s">
        <v>115</v>
      </c>
    </row>
    <row r="16" spans="1:17" s="49" customFormat="1" ht="79.5" customHeight="1" x14ac:dyDescent="0.2">
      <c r="B16" s="48" t="s">
        <v>116</v>
      </c>
      <c r="C16" s="56"/>
      <c r="D16" s="86" t="s">
        <v>117</v>
      </c>
      <c r="E16" s="57"/>
      <c r="F16" t="s">
        <v>118</v>
      </c>
      <c r="G16" s="56" t="s">
        <v>119</v>
      </c>
      <c r="H16" s="48" t="s">
        <v>120</v>
      </c>
      <c r="I16" s="48">
        <v>15000000</v>
      </c>
      <c r="J16" s="48">
        <v>50000000</v>
      </c>
      <c r="K16" s="48"/>
      <c r="L16" s="56" t="s">
        <v>121</v>
      </c>
      <c r="M16" s="56" t="s">
        <v>122</v>
      </c>
      <c r="N16" s="56" t="s">
        <v>123</v>
      </c>
      <c r="O16" s="58" t="s">
        <v>24</v>
      </c>
      <c r="P16" s="59" t="s">
        <v>124</v>
      </c>
    </row>
    <row r="17" spans="2:17" s="49" customFormat="1" ht="108.75" customHeight="1" x14ac:dyDescent="0.2">
      <c r="B17" s="45" t="s">
        <v>125</v>
      </c>
      <c r="C17" s="56" t="s">
        <v>126</v>
      </c>
      <c r="D17" s="86" t="s">
        <v>127</v>
      </c>
      <c r="E17" s="57" t="s">
        <v>128</v>
      </c>
      <c r="F17" t="s">
        <v>129</v>
      </c>
      <c r="G17" s="56"/>
      <c r="H17" s="48" t="s">
        <v>130</v>
      </c>
      <c r="I17" s="48">
        <v>18000000</v>
      </c>
      <c r="J17" s="48">
        <v>50000000</v>
      </c>
      <c r="K17" s="48"/>
      <c r="L17" s="56" t="s">
        <v>131</v>
      </c>
      <c r="M17" s="56" t="s">
        <v>132</v>
      </c>
      <c r="N17" s="56" t="s">
        <v>133</v>
      </c>
      <c r="O17" s="58" t="s">
        <v>24</v>
      </c>
      <c r="P17" s="59" t="s">
        <v>134</v>
      </c>
    </row>
    <row r="18" spans="2:17" s="49" customFormat="1" ht="131.25" customHeight="1" x14ac:dyDescent="0.2">
      <c r="B18" s="45" t="s">
        <v>135</v>
      </c>
      <c r="C18" s="56" t="s">
        <v>136</v>
      </c>
      <c r="D18" s="56" t="s">
        <v>137</v>
      </c>
      <c r="E18" s="57" t="s">
        <v>138</v>
      </c>
      <c r="F18" s="57"/>
      <c r="G18" s="56"/>
      <c r="H18" s="48" t="s">
        <v>139</v>
      </c>
      <c r="I18" s="48">
        <v>30000000</v>
      </c>
      <c r="J18" s="48">
        <v>250000000</v>
      </c>
      <c r="K18" s="48"/>
      <c r="L18" s="49" t="s">
        <v>140</v>
      </c>
      <c r="M18" s="56" t="s">
        <v>141</v>
      </c>
      <c r="N18" s="56" t="s">
        <v>142</v>
      </c>
      <c r="O18" s="58" t="s">
        <v>24</v>
      </c>
      <c r="P18" s="59" t="s">
        <v>143</v>
      </c>
      <c r="Q18" s="86" t="s">
        <v>144</v>
      </c>
    </row>
    <row r="19" spans="2:17" s="49" customFormat="1" ht="90" customHeight="1" x14ac:dyDescent="0.2">
      <c r="B19" s="45" t="s">
        <v>145</v>
      </c>
      <c r="C19" s="56" t="s">
        <v>146</v>
      </c>
      <c r="D19" s="56" t="s">
        <v>147</v>
      </c>
      <c r="E19" s="57">
        <v>34902702526</v>
      </c>
      <c r="F19" s="50" t="s">
        <v>148</v>
      </c>
      <c r="G19" s="56" t="s">
        <v>149</v>
      </c>
      <c r="H19" s="48" t="s">
        <v>150</v>
      </c>
      <c r="I19" s="48">
        <v>0</v>
      </c>
      <c r="J19" s="48">
        <v>30000000</v>
      </c>
      <c r="K19" s="48"/>
      <c r="L19" s="56" t="s">
        <v>151</v>
      </c>
      <c r="M19" s="56" t="s">
        <v>152</v>
      </c>
      <c r="N19" s="56" t="s">
        <v>153</v>
      </c>
      <c r="O19" s="58" t="s">
        <v>24</v>
      </c>
      <c r="P19" s="86" t="s">
        <v>154</v>
      </c>
      <c r="Q19" s="86" t="s">
        <v>155</v>
      </c>
    </row>
    <row r="20" spans="2:17" s="49" customFormat="1" ht="72" customHeight="1" x14ac:dyDescent="0.2">
      <c r="B20" s="48" t="s">
        <v>156</v>
      </c>
      <c r="C20" s="56" t="s">
        <v>157</v>
      </c>
      <c r="D20" s="86" t="s">
        <v>158</v>
      </c>
      <c r="E20" s="57">
        <f>44-(0)-20-7823-212</f>
        <v>-8011</v>
      </c>
      <c r="F20" s="57" t="s">
        <v>159</v>
      </c>
      <c r="G20" s="56" t="s">
        <v>160</v>
      </c>
      <c r="H20" s="85" t="s">
        <v>161</v>
      </c>
      <c r="I20" s="85">
        <v>50000000</v>
      </c>
      <c r="J20" s="85">
        <v>500000000</v>
      </c>
      <c r="K20" s="85"/>
      <c r="L20" s="91" t="s">
        <v>162</v>
      </c>
      <c r="M20" s="56" t="s">
        <v>163</v>
      </c>
      <c r="N20" s="56" t="s">
        <v>164</v>
      </c>
      <c r="O20" s="58" t="s">
        <v>24</v>
      </c>
      <c r="P20" s="59" t="s">
        <v>165</v>
      </c>
      <c r="Q20" s="86" t="s">
        <v>166</v>
      </c>
    </row>
    <row r="21" spans="2:17" x14ac:dyDescent="0.2">
      <c r="Q21" s="86"/>
    </row>
  </sheetData>
  <autoFilter ref="B5:P20" xr:uid="{A85606A4-18FA-4A38-A57F-036B6B851E61}"/>
  <dataConsolidate/>
  <mergeCells count="1">
    <mergeCell ref="B3:P3"/>
  </mergeCells>
  <hyperlinks>
    <hyperlink ref="F11" r:id="rId1" xr:uid="{B70051AB-BEB9-431F-BA05-F985EA99627D}"/>
    <hyperlink ref="F13" r:id="rId2" xr:uid="{CA925D80-B30E-435C-A779-F31D53865DEA}"/>
    <hyperlink ref="F6" r:id="rId3" xr:uid="{3B0D63B8-4429-4465-85B6-1B25A4F10BC0}"/>
    <hyperlink ref="N17" r:id="rId4" display="https://www.nazca.es/" xr:uid="{6273C25C-6ED3-42CE-BE15-3320624351D2}"/>
    <hyperlink ref="N18" r:id="rId5" display="https://www.portobellocapital.es/" xr:uid="{F743F135-6FA0-4F22-A771-4E190FC6D950}"/>
    <hyperlink ref="N12" r:id="rId6" display="https://www.rothschildandco.com/en/merchant-banking/corporate-private-equity/facp/" xr:uid="{65C1694C-387A-424D-BC20-0048C8B11C00}"/>
    <hyperlink ref="N9" r:id="rId7" display="https://www.adventinternational.com/investments/" xr:uid="{D5457D91-DE0C-44FD-A8EC-614395118341}"/>
    <hyperlink ref="N6" r:id="rId8" display="https://www.3i.com/portfolio?business_line=2274&amp;page=2" xr:uid="{CCF7A4C9-0915-4CB2-8E1A-C995EBC14B51}"/>
    <hyperlink ref="N13" r:id="rId9" display="https://www.generalatlantic.com/portfolio/" xr:uid="{3233D35E-2ED3-4B70-A507-1E2E66B5CCB6}"/>
    <hyperlink ref="N15" r:id="rId10" display="https://www.investcorp.com/what-we-do/portfolio/" xr:uid="{15E1ADC9-2801-4949-A9AF-1C42CC1F7A89}"/>
    <hyperlink ref="N20" r:id="rId11" display="https://www.ta.com/" xr:uid="{66C9961B-2713-4278-9090-C5FA3D9A8C05}"/>
    <hyperlink ref="N11" r:id="rId12" display="https://ergoncapital.com/investments/" xr:uid="{F38901A3-0E92-4825-9A6B-4910389F1B12}"/>
    <hyperlink ref="N8" r:id="rId13" display="http://aconinvestments.com/" xr:uid="{AA5C56EB-590F-45B2-9185-578FC5AE3D1A}"/>
    <hyperlink ref="N10" r:id="rId14" xr:uid="{2DADC8D4-392E-4093-AD9A-11F4DA4FEF93}"/>
    <hyperlink ref="F19" r:id="rId15" xr:uid="{463A76DD-7908-4C2D-9524-07A921E2DB84}"/>
    <hyperlink ref="N7" r:id="rId16" display="https://www.abaccapital.com/es/" xr:uid="{1960BAD5-4B61-4D09-AFDD-9A742ECBD712}"/>
    <hyperlink ref="N14" r:id="rId17" xr:uid="{E29D2623-1D83-48A3-B99C-F09B37A38EDE}"/>
    <hyperlink ref="N16" r:id="rId18" xr:uid="{F4819CB3-5AD3-4747-8F2D-D43697A6C53C}"/>
    <hyperlink ref="E8" r:id="rId19" xr:uid="{20D52426-6894-4401-989E-94735030A3ED}"/>
  </hyperlinks>
  <printOptions horizontalCentered="1"/>
  <pageMargins left="0" right="0" top="0" bottom="0" header="0" footer="0"/>
  <pageSetup paperSize="9" scale="58" fitToHeight="0" orientation="landscape" r:id="rId20"/>
  <headerFooter alignWithMargins="0">
    <oddFooter>&amp;L&amp;"Calibri,Normal"&amp;8Privado y Confidencial&amp;C&amp;"Calibri,Normal"&amp;8&amp;P</oddFooter>
  </headerFooter>
  <rowBreaks count="1" manualBreakCount="1">
    <brk id="9" min="1" max="11" man="1"/>
  </rowBreaks>
  <drawing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D720D-D5E5-4FE6-AB39-F14E50C7F9CE}">
  <sheetPr>
    <tabColor rgb="FF92D050"/>
    <pageSetUpPr fitToPage="1"/>
  </sheetPr>
  <dimension ref="B1:M26"/>
  <sheetViews>
    <sheetView showGridLines="0" topLeftCell="A12" zoomScale="112" zoomScaleNormal="112" zoomScaleSheetLayoutView="55" workbookViewId="0">
      <selection activeCell="B22" sqref="B22"/>
    </sheetView>
  </sheetViews>
  <sheetFormatPr defaultColWidth="9.28515625" defaultRowHeight="15" x14ac:dyDescent="0.2"/>
  <cols>
    <col min="1" max="1" width="2.28515625" style="19" customWidth="1"/>
    <col min="2" max="2" width="36.42578125" style="17" customWidth="1"/>
    <col min="3" max="3" width="30.28515625" style="17" customWidth="1"/>
    <col min="4" max="4" width="21.5703125" style="18" customWidth="1"/>
    <col min="5" max="5" width="28.5703125" style="17" customWidth="1"/>
    <col min="6" max="6" width="30.28515625" style="17" customWidth="1"/>
    <col min="7" max="7" width="20.140625" style="19" customWidth="1"/>
    <col min="8" max="8" width="36.5703125" style="19" bestFit="1" customWidth="1"/>
    <col min="9" max="9" width="32.140625" style="19" bestFit="1" customWidth="1"/>
    <col min="10" max="256" width="9.28515625" style="19"/>
    <col min="257" max="257" width="2.28515625" style="19" customWidth="1"/>
    <col min="258" max="258" width="36.42578125" style="19" customWidth="1"/>
    <col min="259" max="259" width="30.28515625" style="19" customWidth="1"/>
    <col min="260" max="260" width="21.5703125" style="19" customWidth="1"/>
    <col min="261" max="261" width="19.28515625" style="19" customWidth="1"/>
    <col min="262" max="262" width="30.28515625" style="19" customWidth="1"/>
    <col min="263" max="263" width="9.28515625" style="19"/>
    <col min="264" max="264" width="11.5703125" style="19" bestFit="1" customWidth="1"/>
    <col min="265" max="512" width="9.28515625" style="19"/>
    <col min="513" max="513" width="2.28515625" style="19" customWidth="1"/>
    <col min="514" max="514" width="36.42578125" style="19" customWidth="1"/>
    <col min="515" max="515" width="30.28515625" style="19" customWidth="1"/>
    <col min="516" max="516" width="21.5703125" style="19" customWidth="1"/>
    <col min="517" max="517" width="19.28515625" style="19" customWidth="1"/>
    <col min="518" max="518" width="30.28515625" style="19" customWidth="1"/>
    <col min="519" max="519" width="9.28515625" style="19"/>
    <col min="520" max="520" width="11.5703125" style="19" bestFit="1" customWidth="1"/>
    <col min="521" max="768" width="9.28515625" style="19"/>
    <col min="769" max="769" width="2.28515625" style="19" customWidth="1"/>
    <col min="770" max="770" width="36.42578125" style="19" customWidth="1"/>
    <col min="771" max="771" width="30.28515625" style="19" customWidth="1"/>
    <col min="772" max="772" width="21.5703125" style="19" customWidth="1"/>
    <col min="773" max="773" width="19.28515625" style="19" customWidth="1"/>
    <col min="774" max="774" width="30.28515625" style="19" customWidth="1"/>
    <col min="775" max="775" width="9.28515625" style="19"/>
    <col min="776" max="776" width="11.5703125" style="19" bestFit="1" customWidth="1"/>
    <col min="777" max="1024" width="9.28515625" style="19"/>
    <col min="1025" max="1025" width="2.28515625" style="19" customWidth="1"/>
    <col min="1026" max="1026" width="36.42578125" style="19" customWidth="1"/>
    <col min="1027" max="1027" width="30.28515625" style="19" customWidth="1"/>
    <col min="1028" max="1028" width="21.5703125" style="19" customWidth="1"/>
    <col min="1029" max="1029" width="19.28515625" style="19" customWidth="1"/>
    <col min="1030" max="1030" width="30.28515625" style="19" customWidth="1"/>
    <col min="1031" max="1031" width="9.28515625" style="19"/>
    <col min="1032" max="1032" width="11.5703125" style="19" bestFit="1" customWidth="1"/>
    <col min="1033" max="1280" width="9.28515625" style="19"/>
    <col min="1281" max="1281" width="2.28515625" style="19" customWidth="1"/>
    <col min="1282" max="1282" width="36.42578125" style="19" customWidth="1"/>
    <col min="1283" max="1283" width="30.28515625" style="19" customWidth="1"/>
    <col min="1284" max="1284" width="21.5703125" style="19" customWidth="1"/>
    <col min="1285" max="1285" width="19.28515625" style="19" customWidth="1"/>
    <col min="1286" max="1286" width="30.28515625" style="19" customWidth="1"/>
    <col min="1287" max="1287" width="9.28515625" style="19"/>
    <col min="1288" max="1288" width="11.5703125" style="19" bestFit="1" customWidth="1"/>
    <col min="1289" max="1536" width="9.28515625" style="19"/>
    <col min="1537" max="1537" width="2.28515625" style="19" customWidth="1"/>
    <col min="1538" max="1538" width="36.42578125" style="19" customWidth="1"/>
    <col min="1539" max="1539" width="30.28515625" style="19" customWidth="1"/>
    <col min="1540" max="1540" width="21.5703125" style="19" customWidth="1"/>
    <col min="1541" max="1541" width="19.28515625" style="19" customWidth="1"/>
    <col min="1542" max="1542" width="30.28515625" style="19" customWidth="1"/>
    <col min="1543" max="1543" width="9.28515625" style="19"/>
    <col min="1544" max="1544" width="11.5703125" style="19" bestFit="1" customWidth="1"/>
    <col min="1545" max="1792" width="9.28515625" style="19"/>
    <col min="1793" max="1793" width="2.28515625" style="19" customWidth="1"/>
    <col min="1794" max="1794" width="36.42578125" style="19" customWidth="1"/>
    <col min="1795" max="1795" width="30.28515625" style="19" customWidth="1"/>
    <col min="1796" max="1796" width="21.5703125" style="19" customWidth="1"/>
    <col min="1797" max="1797" width="19.28515625" style="19" customWidth="1"/>
    <col min="1798" max="1798" width="30.28515625" style="19" customWidth="1"/>
    <col min="1799" max="1799" width="9.28515625" style="19"/>
    <col min="1800" max="1800" width="11.5703125" style="19" bestFit="1" customWidth="1"/>
    <col min="1801" max="2048" width="9.28515625" style="19"/>
    <col min="2049" max="2049" width="2.28515625" style="19" customWidth="1"/>
    <col min="2050" max="2050" width="36.42578125" style="19" customWidth="1"/>
    <col min="2051" max="2051" width="30.28515625" style="19" customWidth="1"/>
    <col min="2052" max="2052" width="21.5703125" style="19" customWidth="1"/>
    <col min="2053" max="2053" width="19.28515625" style="19" customWidth="1"/>
    <col min="2054" max="2054" width="30.28515625" style="19" customWidth="1"/>
    <col min="2055" max="2055" width="9.28515625" style="19"/>
    <col min="2056" max="2056" width="11.5703125" style="19" bestFit="1" customWidth="1"/>
    <col min="2057" max="2304" width="9.28515625" style="19"/>
    <col min="2305" max="2305" width="2.28515625" style="19" customWidth="1"/>
    <col min="2306" max="2306" width="36.42578125" style="19" customWidth="1"/>
    <col min="2307" max="2307" width="30.28515625" style="19" customWidth="1"/>
    <col min="2308" max="2308" width="21.5703125" style="19" customWidth="1"/>
    <col min="2309" max="2309" width="19.28515625" style="19" customWidth="1"/>
    <col min="2310" max="2310" width="30.28515625" style="19" customWidth="1"/>
    <col min="2311" max="2311" width="9.28515625" style="19"/>
    <col min="2312" max="2312" width="11.5703125" style="19" bestFit="1" customWidth="1"/>
    <col min="2313" max="2560" width="9.28515625" style="19"/>
    <col min="2561" max="2561" width="2.28515625" style="19" customWidth="1"/>
    <col min="2562" max="2562" width="36.42578125" style="19" customWidth="1"/>
    <col min="2563" max="2563" width="30.28515625" style="19" customWidth="1"/>
    <col min="2564" max="2564" width="21.5703125" style="19" customWidth="1"/>
    <col min="2565" max="2565" width="19.28515625" style="19" customWidth="1"/>
    <col min="2566" max="2566" width="30.28515625" style="19" customWidth="1"/>
    <col min="2567" max="2567" width="9.28515625" style="19"/>
    <col min="2568" max="2568" width="11.5703125" style="19" bestFit="1" customWidth="1"/>
    <col min="2569" max="2816" width="9.28515625" style="19"/>
    <col min="2817" max="2817" width="2.28515625" style="19" customWidth="1"/>
    <col min="2818" max="2818" width="36.42578125" style="19" customWidth="1"/>
    <col min="2819" max="2819" width="30.28515625" style="19" customWidth="1"/>
    <col min="2820" max="2820" width="21.5703125" style="19" customWidth="1"/>
    <col min="2821" max="2821" width="19.28515625" style="19" customWidth="1"/>
    <col min="2822" max="2822" width="30.28515625" style="19" customWidth="1"/>
    <col min="2823" max="2823" width="9.28515625" style="19"/>
    <col min="2824" max="2824" width="11.5703125" style="19" bestFit="1" customWidth="1"/>
    <col min="2825" max="3072" width="9.28515625" style="19"/>
    <col min="3073" max="3073" width="2.28515625" style="19" customWidth="1"/>
    <col min="3074" max="3074" width="36.42578125" style="19" customWidth="1"/>
    <col min="3075" max="3075" width="30.28515625" style="19" customWidth="1"/>
    <col min="3076" max="3076" width="21.5703125" style="19" customWidth="1"/>
    <col min="3077" max="3077" width="19.28515625" style="19" customWidth="1"/>
    <col min="3078" max="3078" width="30.28515625" style="19" customWidth="1"/>
    <col min="3079" max="3079" width="9.28515625" style="19"/>
    <col min="3080" max="3080" width="11.5703125" style="19" bestFit="1" customWidth="1"/>
    <col min="3081" max="3328" width="9.28515625" style="19"/>
    <col min="3329" max="3329" width="2.28515625" style="19" customWidth="1"/>
    <col min="3330" max="3330" width="36.42578125" style="19" customWidth="1"/>
    <col min="3331" max="3331" width="30.28515625" style="19" customWidth="1"/>
    <col min="3332" max="3332" width="21.5703125" style="19" customWidth="1"/>
    <col min="3333" max="3333" width="19.28515625" style="19" customWidth="1"/>
    <col min="3334" max="3334" width="30.28515625" style="19" customWidth="1"/>
    <col min="3335" max="3335" width="9.28515625" style="19"/>
    <col min="3336" max="3336" width="11.5703125" style="19" bestFit="1" customWidth="1"/>
    <col min="3337" max="3584" width="9.28515625" style="19"/>
    <col min="3585" max="3585" width="2.28515625" style="19" customWidth="1"/>
    <col min="3586" max="3586" width="36.42578125" style="19" customWidth="1"/>
    <col min="3587" max="3587" width="30.28515625" style="19" customWidth="1"/>
    <col min="3588" max="3588" width="21.5703125" style="19" customWidth="1"/>
    <col min="3589" max="3589" width="19.28515625" style="19" customWidth="1"/>
    <col min="3590" max="3590" width="30.28515625" style="19" customWidth="1"/>
    <col min="3591" max="3591" width="9.28515625" style="19"/>
    <col min="3592" max="3592" width="11.5703125" style="19" bestFit="1" customWidth="1"/>
    <col min="3593" max="3840" width="9.28515625" style="19"/>
    <col min="3841" max="3841" width="2.28515625" style="19" customWidth="1"/>
    <col min="3842" max="3842" width="36.42578125" style="19" customWidth="1"/>
    <col min="3843" max="3843" width="30.28515625" style="19" customWidth="1"/>
    <col min="3844" max="3844" width="21.5703125" style="19" customWidth="1"/>
    <col min="3845" max="3845" width="19.28515625" style="19" customWidth="1"/>
    <col min="3846" max="3846" width="30.28515625" style="19" customWidth="1"/>
    <col min="3847" max="3847" width="9.28515625" style="19"/>
    <col min="3848" max="3848" width="11.5703125" style="19" bestFit="1" customWidth="1"/>
    <col min="3849" max="4096" width="9.28515625" style="19"/>
    <col min="4097" max="4097" width="2.28515625" style="19" customWidth="1"/>
    <col min="4098" max="4098" width="36.42578125" style="19" customWidth="1"/>
    <col min="4099" max="4099" width="30.28515625" style="19" customWidth="1"/>
    <col min="4100" max="4100" width="21.5703125" style="19" customWidth="1"/>
    <col min="4101" max="4101" width="19.28515625" style="19" customWidth="1"/>
    <col min="4102" max="4102" width="30.28515625" style="19" customWidth="1"/>
    <col min="4103" max="4103" width="9.28515625" style="19"/>
    <col min="4104" max="4104" width="11.5703125" style="19" bestFit="1" customWidth="1"/>
    <col min="4105" max="4352" width="9.28515625" style="19"/>
    <col min="4353" max="4353" width="2.28515625" style="19" customWidth="1"/>
    <col min="4354" max="4354" width="36.42578125" style="19" customWidth="1"/>
    <col min="4355" max="4355" width="30.28515625" style="19" customWidth="1"/>
    <col min="4356" max="4356" width="21.5703125" style="19" customWidth="1"/>
    <col min="4357" max="4357" width="19.28515625" style="19" customWidth="1"/>
    <col min="4358" max="4358" width="30.28515625" style="19" customWidth="1"/>
    <col min="4359" max="4359" width="9.28515625" style="19"/>
    <col min="4360" max="4360" width="11.5703125" style="19" bestFit="1" customWidth="1"/>
    <col min="4361" max="4608" width="9.28515625" style="19"/>
    <col min="4609" max="4609" width="2.28515625" style="19" customWidth="1"/>
    <col min="4610" max="4610" width="36.42578125" style="19" customWidth="1"/>
    <col min="4611" max="4611" width="30.28515625" style="19" customWidth="1"/>
    <col min="4612" max="4612" width="21.5703125" style="19" customWidth="1"/>
    <col min="4613" max="4613" width="19.28515625" style="19" customWidth="1"/>
    <col min="4614" max="4614" width="30.28515625" style="19" customWidth="1"/>
    <col min="4615" max="4615" width="9.28515625" style="19"/>
    <col min="4616" max="4616" width="11.5703125" style="19" bestFit="1" customWidth="1"/>
    <col min="4617" max="4864" width="9.28515625" style="19"/>
    <col min="4865" max="4865" width="2.28515625" style="19" customWidth="1"/>
    <col min="4866" max="4866" width="36.42578125" style="19" customWidth="1"/>
    <col min="4867" max="4867" width="30.28515625" style="19" customWidth="1"/>
    <col min="4868" max="4868" width="21.5703125" style="19" customWidth="1"/>
    <col min="4869" max="4869" width="19.28515625" style="19" customWidth="1"/>
    <col min="4870" max="4870" width="30.28515625" style="19" customWidth="1"/>
    <col min="4871" max="4871" width="9.28515625" style="19"/>
    <col min="4872" max="4872" width="11.5703125" style="19" bestFit="1" customWidth="1"/>
    <col min="4873" max="5120" width="9.28515625" style="19"/>
    <col min="5121" max="5121" width="2.28515625" style="19" customWidth="1"/>
    <col min="5122" max="5122" width="36.42578125" style="19" customWidth="1"/>
    <col min="5123" max="5123" width="30.28515625" style="19" customWidth="1"/>
    <col min="5124" max="5124" width="21.5703125" style="19" customWidth="1"/>
    <col min="5125" max="5125" width="19.28515625" style="19" customWidth="1"/>
    <col min="5126" max="5126" width="30.28515625" style="19" customWidth="1"/>
    <col min="5127" max="5127" width="9.28515625" style="19"/>
    <col min="5128" max="5128" width="11.5703125" style="19" bestFit="1" customWidth="1"/>
    <col min="5129" max="5376" width="9.28515625" style="19"/>
    <col min="5377" max="5377" width="2.28515625" style="19" customWidth="1"/>
    <col min="5378" max="5378" width="36.42578125" style="19" customWidth="1"/>
    <col min="5379" max="5379" width="30.28515625" style="19" customWidth="1"/>
    <col min="5380" max="5380" width="21.5703125" style="19" customWidth="1"/>
    <col min="5381" max="5381" width="19.28515625" style="19" customWidth="1"/>
    <col min="5382" max="5382" width="30.28515625" style="19" customWidth="1"/>
    <col min="5383" max="5383" width="9.28515625" style="19"/>
    <col min="5384" max="5384" width="11.5703125" style="19" bestFit="1" customWidth="1"/>
    <col min="5385" max="5632" width="9.28515625" style="19"/>
    <col min="5633" max="5633" width="2.28515625" style="19" customWidth="1"/>
    <col min="5634" max="5634" width="36.42578125" style="19" customWidth="1"/>
    <col min="5635" max="5635" width="30.28515625" style="19" customWidth="1"/>
    <col min="5636" max="5636" width="21.5703125" style="19" customWidth="1"/>
    <col min="5637" max="5637" width="19.28515625" style="19" customWidth="1"/>
    <col min="5638" max="5638" width="30.28515625" style="19" customWidth="1"/>
    <col min="5639" max="5639" width="9.28515625" style="19"/>
    <col min="5640" max="5640" width="11.5703125" style="19" bestFit="1" customWidth="1"/>
    <col min="5641" max="5888" width="9.28515625" style="19"/>
    <col min="5889" max="5889" width="2.28515625" style="19" customWidth="1"/>
    <col min="5890" max="5890" width="36.42578125" style="19" customWidth="1"/>
    <col min="5891" max="5891" width="30.28515625" style="19" customWidth="1"/>
    <col min="5892" max="5892" width="21.5703125" style="19" customWidth="1"/>
    <col min="5893" max="5893" width="19.28515625" style="19" customWidth="1"/>
    <col min="5894" max="5894" width="30.28515625" style="19" customWidth="1"/>
    <col min="5895" max="5895" width="9.28515625" style="19"/>
    <col min="5896" max="5896" width="11.5703125" style="19" bestFit="1" customWidth="1"/>
    <col min="5897" max="6144" width="9.28515625" style="19"/>
    <col min="6145" max="6145" width="2.28515625" style="19" customWidth="1"/>
    <col min="6146" max="6146" width="36.42578125" style="19" customWidth="1"/>
    <col min="6147" max="6147" width="30.28515625" style="19" customWidth="1"/>
    <col min="6148" max="6148" width="21.5703125" style="19" customWidth="1"/>
    <col min="6149" max="6149" width="19.28515625" style="19" customWidth="1"/>
    <col min="6150" max="6150" width="30.28515625" style="19" customWidth="1"/>
    <col min="6151" max="6151" width="9.28515625" style="19"/>
    <col min="6152" max="6152" width="11.5703125" style="19" bestFit="1" customWidth="1"/>
    <col min="6153" max="6400" width="9.28515625" style="19"/>
    <col min="6401" max="6401" width="2.28515625" style="19" customWidth="1"/>
    <col min="6402" max="6402" width="36.42578125" style="19" customWidth="1"/>
    <col min="6403" max="6403" width="30.28515625" style="19" customWidth="1"/>
    <col min="6404" max="6404" width="21.5703125" style="19" customWidth="1"/>
    <col min="6405" max="6405" width="19.28515625" style="19" customWidth="1"/>
    <col min="6406" max="6406" width="30.28515625" style="19" customWidth="1"/>
    <col min="6407" max="6407" width="9.28515625" style="19"/>
    <col min="6408" max="6408" width="11.5703125" style="19" bestFit="1" customWidth="1"/>
    <col min="6409" max="6656" width="9.28515625" style="19"/>
    <col min="6657" max="6657" width="2.28515625" style="19" customWidth="1"/>
    <col min="6658" max="6658" width="36.42578125" style="19" customWidth="1"/>
    <col min="6659" max="6659" width="30.28515625" style="19" customWidth="1"/>
    <col min="6660" max="6660" width="21.5703125" style="19" customWidth="1"/>
    <col min="6661" max="6661" width="19.28515625" style="19" customWidth="1"/>
    <col min="6662" max="6662" width="30.28515625" style="19" customWidth="1"/>
    <col min="6663" max="6663" width="9.28515625" style="19"/>
    <col min="6664" max="6664" width="11.5703125" style="19" bestFit="1" customWidth="1"/>
    <col min="6665" max="6912" width="9.28515625" style="19"/>
    <col min="6913" max="6913" width="2.28515625" style="19" customWidth="1"/>
    <col min="6914" max="6914" width="36.42578125" style="19" customWidth="1"/>
    <col min="6915" max="6915" width="30.28515625" style="19" customWidth="1"/>
    <col min="6916" max="6916" width="21.5703125" style="19" customWidth="1"/>
    <col min="6917" max="6917" width="19.28515625" style="19" customWidth="1"/>
    <col min="6918" max="6918" width="30.28515625" style="19" customWidth="1"/>
    <col min="6919" max="6919" width="9.28515625" style="19"/>
    <col min="6920" max="6920" width="11.5703125" style="19" bestFit="1" customWidth="1"/>
    <col min="6921" max="7168" width="9.28515625" style="19"/>
    <col min="7169" max="7169" width="2.28515625" style="19" customWidth="1"/>
    <col min="7170" max="7170" width="36.42578125" style="19" customWidth="1"/>
    <col min="7171" max="7171" width="30.28515625" style="19" customWidth="1"/>
    <col min="7172" max="7172" width="21.5703125" style="19" customWidth="1"/>
    <col min="7173" max="7173" width="19.28515625" style="19" customWidth="1"/>
    <col min="7174" max="7174" width="30.28515625" style="19" customWidth="1"/>
    <col min="7175" max="7175" width="9.28515625" style="19"/>
    <col min="7176" max="7176" width="11.5703125" style="19" bestFit="1" customWidth="1"/>
    <col min="7177" max="7424" width="9.28515625" style="19"/>
    <col min="7425" max="7425" width="2.28515625" style="19" customWidth="1"/>
    <col min="7426" max="7426" width="36.42578125" style="19" customWidth="1"/>
    <col min="7427" max="7427" width="30.28515625" style="19" customWidth="1"/>
    <col min="7428" max="7428" width="21.5703125" style="19" customWidth="1"/>
    <col min="7429" max="7429" width="19.28515625" style="19" customWidth="1"/>
    <col min="7430" max="7430" width="30.28515625" style="19" customWidth="1"/>
    <col min="7431" max="7431" width="9.28515625" style="19"/>
    <col min="7432" max="7432" width="11.5703125" style="19" bestFit="1" customWidth="1"/>
    <col min="7433" max="7680" width="9.28515625" style="19"/>
    <col min="7681" max="7681" width="2.28515625" style="19" customWidth="1"/>
    <col min="7682" max="7682" width="36.42578125" style="19" customWidth="1"/>
    <col min="7683" max="7683" width="30.28515625" style="19" customWidth="1"/>
    <col min="7684" max="7684" width="21.5703125" style="19" customWidth="1"/>
    <col min="7685" max="7685" width="19.28515625" style="19" customWidth="1"/>
    <col min="7686" max="7686" width="30.28515625" style="19" customWidth="1"/>
    <col min="7687" max="7687" width="9.28515625" style="19"/>
    <col min="7688" max="7688" width="11.5703125" style="19" bestFit="1" customWidth="1"/>
    <col min="7689" max="7936" width="9.28515625" style="19"/>
    <col min="7937" max="7937" width="2.28515625" style="19" customWidth="1"/>
    <col min="7938" max="7938" width="36.42578125" style="19" customWidth="1"/>
    <col min="7939" max="7939" width="30.28515625" style="19" customWidth="1"/>
    <col min="7940" max="7940" width="21.5703125" style="19" customWidth="1"/>
    <col min="7941" max="7941" width="19.28515625" style="19" customWidth="1"/>
    <col min="7942" max="7942" width="30.28515625" style="19" customWidth="1"/>
    <col min="7943" max="7943" width="9.28515625" style="19"/>
    <col min="7944" max="7944" width="11.5703125" style="19" bestFit="1" customWidth="1"/>
    <col min="7945" max="8192" width="9.28515625" style="19"/>
    <col min="8193" max="8193" width="2.28515625" style="19" customWidth="1"/>
    <col min="8194" max="8194" width="36.42578125" style="19" customWidth="1"/>
    <col min="8195" max="8195" width="30.28515625" style="19" customWidth="1"/>
    <col min="8196" max="8196" width="21.5703125" style="19" customWidth="1"/>
    <col min="8197" max="8197" width="19.28515625" style="19" customWidth="1"/>
    <col min="8198" max="8198" width="30.28515625" style="19" customWidth="1"/>
    <col min="8199" max="8199" width="9.28515625" style="19"/>
    <col min="8200" max="8200" width="11.5703125" style="19" bestFit="1" customWidth="1"/>
    <col min="8201" max="8448" width="9.28515625" style="19"/>
    <col min="8449" max="8449" width="2.28515625" style="19" customWidth="1"/>
    <col min="8450" max="8450" width="36.42578125" style="19" customWidth="1"/>
    <col min="8451" max="8451" width="30.28515625" style="19" customWidth="1"/>
    <col min="8452" max="8452" width="21.5703125" style="19" customWidth="1"/>
    <col min="8453" max="8453" width="19.28515625" style="19" customWidth="1"/>
    <col min="8454" max="8454" width="30.28515625" style="19" customWidth="1"/>
    <col min="8455" max="8455" width="9.28515625" style="19"/>
    <col min="8456" max="8456" width="11.5703125" style="19" bestFit="1" customWidth="1"/>
    <col min="8457" max="8704" width="9.28515625" style="19"/>
    <col min="8705" max="8705" width="2.28515625" style="19" customWidth="1"/>
    <col min="8706" max="8706" width="36.42578125" style="19" customWidth="1"/>
    <col min="8707" max="8707" width="30.28515625" style="19" customWidth="1"/>
    <col min="8708" max="8708" width="21.5703125" style="19" customWidth="1"/>
    <col min="8709" max="8709" width="19.28515625" style="19" customWidth="1"/>
    <col min="8710" max="8710" width="30.28515625" style="19" customWidth="1"/>
    <col min="8711" max="8711" width="9.28515625" style="19"/>
    <col min="8712" max="8712" width="11.5703125" style="19" bestFit="1" customWidth="1"/>
    <col min="8713" max="8960" width="9.28515625" style="19"/>
    <col min="8961" max="8961" width="2.28515625" style="19" customWidth="1"/>
    <col min="8962" max="8962" width="36.42578125" style="19" customWidth="1"/>
    <col min="8963" max="8963" width="30.28515625" style="19" customWidth="1"/>
    <col min="8964" max="8964" width="21.5703125" style="19" customWidth="1"/>
    <col min="8965" max="8965" width="19.28515625" style="19" customWidth="1"/>
    <col min="8966" max="8966" width="30.28515625" style="19" customWidth="1"/>
    <col min="8967" max="8967" width="9.28515625" style="19"/>
    <col min="8968" max="8968" width="11.5703125" style="19" bestFit="1" customWidth="1"/>
    <col min="8969" max="9216" width="9.28515625" style="19"/>
    <col min="9217" max="9217" width="2.28515625" style="19" customWidth="1"/>
    <col min="9218" max="9218" width="36.42578125" style="19" customWidth="1"/>
    <col min="9219" max="9219" width="30.28515625" style="19" customWidth="1"/>
    <col min="9220" max="9220" width="21.5703125" style="19" customWidth="1"/>
    <col min="9221" max="9221" width="19.28515625" style="19" customWidth="1"/>
    <col min="9222" max="9222" width="30.28515625" style="19" customWidth="1"/>
    <col min="9223" max="9223" width="9.28515625" style="19"/>
    <col min="9224" max="9224" width="11.5703125" style="19" bestFit="1" customWidth="1"/>
    <col min="9225" max="9472" width="9.28515625" style="19"/>
    <col min="9473" max="9473" width="2.28515625" style="19" customWidth="1"/>
    <col min="9474" max="9474" width="36.42578125" style="19" customWidth="1"/>
    <col min="9475" max="9475" width="30.28515625" style="19" customWidth="1"/>
    <col min="9476" max="9476" width="21.5703125" style="19" customWidth="1"/>
    <col min="9477" max="9477" width="19.28515625" style="19" customWidth="1"/>
    <col min="9478" max="9478" width="30.28515625" style="19" customWidth="1"/>
    <col min="9479" max="9479" width="9.28515625" style="19"/>
    <col min="9480" max="9480" width="11.5703125" style="19" bestFit="1" customWidth="1"/>
    <col min="9481" max="9728" width="9.28515625" style="19"/>
    <col min="9729" max="9729" width="2.28515625" style="19" customWidth="1"/>
    <col min="9730" max="9730" width="36.42578125" style="19" customWidth="1"/>
    <col min="9731" max="9731" width="30.28515625" style="19" customWidth="1"/>
    <col min="9732" max="9732" width="21.5703125" style="19" customWidth="1"/>
    <col min="9733" max="9733" width="19.28515625" style="19" customWidth="1"/>
    <col min="9734" max="9734" width="30.28515625" style="19" customWidth="1"/>
    <col min="9735" max="9735" width="9.28515625" style="19"/>
    <col min="9736" max="9736" width="11.5703125" style="19" bestFit="1" customWidth="1"/>
    <col min="9737" max="9984" width="9.28515625" style="19"/>
    <col min="9985" max="9985" width="2.28515625" style="19" customWidth="1"/>
    <col min="9986" max="9986" width="36.42578125" style="19" customWidth="1"/>
    <col min="9987" max="9987" width="30.28515625" style="19" customWidth="1"/>
    <col min="9988" max="9988" width="21.5703125" style="19" customWidth="1"/>
    <col min="9989" max="9989" width="19.28515625" style="19" customWidth="1"/>
    <col min="9990" max="9990" width="30.28515625" style="19" customWidth="1"/>
    <col min="9991" max="9991" width="9.28515625" style="19"/>
    <col min="9992" max="9992" width="11.5703125" style="19" bestFit="1" customWidth="1"/>
    <col min="9993" max="10240" width="9.28515625" style="19"/>
    <col min="10241" max="10241" width="2.28515625" style="19" customWidth="1"/>
    <col min="10242" max="10242" width="36.42578125" style="19" customWidth="1"/>
    <col min="10243" max="10243" width="30.28515625" style="19" customWidth="1"/>
    <col min="10244" max="10244" width="21.5703125" style="19" customWidth="1"/>
    <col min="10245" max="10245" width="19.28515625" style="19" customWidth="1"/>
    <col min="10246" max="10246" width="30.28515625" style="19" customWidth="1"/>
    <col min="10247" max="10247" width="9.28515625" style="19"/>
    <col min="10248" max="10248" width="11.5703125" style="19" bestFit="1" customWidth="1"/>
    <col min="10249" max="10496" width="9.28515625" style="19"/>
    <col min="10497" max="10497" width="2.28515625" style="19" customWidth="1"/>
    <col min="10498" max="10498" width="36.42578125" style="19" customWidth="1"/>
    <col min="10499" max="10499" width="30.28515625" style="19" customWidth="1"/>
    <col min="10500" max="10500" width="21.5703125" style="19" customWidth="1"/>
    <col min="10501" max="10501" width="19.28515625" style="19" customWidth="1"/>
    <col min="10502" max="10502" width="30.28515625" style="19" customWidth="1"/>
    <col min="10503" max="10503" width="9.28515625" style="19"/>
    <col min="10504" max="10504" width="11.5703125" style="19" bestFit="1" customWidth="1"/>
    <col min="10505" max="10752" width="9.28515625" style="19"/>
    <col min="10753" max="10753" width="2.28515625" style="19" customWidth="1"/>
    <col min="10754" max="10754" width="36.42578125" style="19" customWidth="1"/>
    <col min="10755" max="10755" width="30.28515625" style="19" customWidth="1"/>
    <col min="10756" max="10756" width="21.5703125" style="19" customWidth="1"/>
    <col min="10757" max="10757" width="19.28515625" style="19" customWidth="1"/>
    <col min="10758" max="10758" width="30.28515625" style="19" customWidth="1"/>
    <col min="10759" max="10759" width="9.28515625" style="19"/>
    <col min="10760" max="10760" width="11.5703125" style="19" bestFit="1" customWidth="1"/>
    <col min="10761" max="11008" width="9.28515625" style="19"/>
    <col min="11009" max="11009" width="2.28515625" style="19" customWidth="1"/>
    <col min="11010" max="11010" width="36.42578125" style="19" customWidth="1"/>
    <col min="11011" max="11011" width="30.28515625" style="19" customWidth="1"/>
    <col min="11012" max="11012" width="21.5703125" style="19" customWidth="1"/>
    <col min="11013" max="11013" width="19.28515625" style="19" customWidth="1"/>
    <col min="11014" max="11014" width="30.28515625" style="19" customWidth="1"/>
    <col min="11015" max="11015" width="9.28515625" style="19"/>
    <col min="11016" max="11016" width="11.5703125" style="19" bestFit="1" customWidth="1"/>
    <col min="11017" max="11264" width="9.28515625" style="19"/>
    <col min="11265" max="11265" width="2.28515625" style="19" customWidth="1"/>
    <col min="11266" max="11266" width="36.42578125" style="19" customWidth="1"/>
    <col min="11267" max="11267" width="30.28515625" style="19" customWidth="1"/>
    <col min="11268" max="11268" width="21.5703125" style="19" customWidth="1"/>
    <col min="11269" max="11269" width="19.28515625" style="19" customWidth="1"/>
    <col min="11270" max="11270" width="30.28515625" style="19" customWidth="1"/>
    <col min="11271" max="11271" width="9.28515625" style="19"/>
    <col min="11272" max="11272" width="11.5703125" style="19" bestFit="1" customWidth="1"/>
    <col min="11273" max="11520" width="9.28515625" style="19"/>
    <col min="11521" max="11521" width="2.28515625" style="19" customWidth="1"/>
    <col min="11522" max="11522" width="36.42578125" style="19" customWidth="1"/>
    <col min="11523" max="11523" width="30.28515625" style="19" customWidth="1"/>
    <col min="11524" max="11524" width="21.5703125" style="19" customWidth="1"/>
    <col min="11525" max="11525" width="19.28515625" style="19" customWidth="1"/>
    <col min="11526" max="11526" width="30.28515625" style="19" customWidth="1"/>
    <col min="11527" max="11527" width="9.28515625" style="19"/>
    <col min="11528" max="11528" width="11.5703125" style="19" bestFit="1" customWidth="1"/>
    <col min="11529" max="11776" width="9.28515625" style="19"/>
    <col min="11777" max="11777" width="2.28515625" style="19" customWidth="1"/>
    <col min="11778" max="11778" width="36.42578125" style="19" customWidth="1"/>
    <col min="11779" max="11779" width="30.28515625" style="19" customWidth="1"/>
    <col min="11780" max="11780" width="21.5703125" style="19" customWidth="1"/>
    <col min="11781" max="11781" width="19.28515625" style="19" customWidth="1"/>
    <col min="11782" max="11782" width="30.28515625" style="19" customWidth="1"/>
    <col min="11783" max="11783" width="9.28515625" style="19"/>
    <col min="11784" max="11784" width="11.5703125" style="19" bestFit="1" customWidth="1"/>
    <col min="11785" max="12032" width="9.28515625" style="19"/>
    <col min="12033" max="12033" width="2.28515625" style="19" customWidth="1"/>
    <col min="12034" max="12034" width="36.42578125" style="19" customWidth="1"/>
    <col min="12035" max="12035" width="30.28515625" style="19" customWidth="1"/>
    <col min="12036" max="12036" width="21.5703125" style="19" customWidth="1"/>
    <col min="12037" max="12037" width="19.28515625" style="19" customWidth="1"/>
    <col min="12038" max="12038" width="30.28515625" style="19" customWidth="1"/>
    <col min="12039" max="12039" width="9.28515625" style="19"/>
    <col min="12040" max="12040" width="11.5703125" style="19" bestFit="1" customWidth="1"/>
    <col min="12041" max="12288" width="9.28515625" style="19"/>
    <col min="12289" max="12289" width="2.28515625" style="19" customWidth="1"/>
    <col min="12290" max="12290" width="36.42578125" style="19" customWidth="1"/>
    <col min="12291" max="12291" width="30.28515625" style="19" customWidth="1"/>
    <col min="12292" max="12292" width="21.5703125" style="19" customWidth="1"/>
    <col min="12293" max="12293" width="19.28515625" style="19" customWidth="1"/>
    <col min="12294" max="12294" width="30.28515625" style="19" customWidth="1"/>
    <col min="12295" max="12295" width="9.28515625" style="19"/>
    <col min="12296" max="12296" width="11.5703125" style="19" bestFit="1" customWidth="1"/>
    <col min="12297" max="12544" width="9.28515625" style="19"/>
    <col min="12545" max="12545" width="2.28515625" style="19" customWidth="1"/>
    <col min="12546" max="12546" width="36.42578125" style="19" customWidth="1"/>
    <col min="12547" max="12547" width="30.28515625" style="19" customWidth="1"/>
    <col min="12548" max="12548" width="21.5703125" style="19" customWidth="1"/>
    <col min="12549" max="12549" width="19.28515625" style="19" customWidth="1"/>
    <col min="12550" max="12550" width="30.28515625" style="19" customWidth="1"/>
    <col min="12551" max="12551" width="9.28515625" style="19"/>
    <col min="12552" max="12552" width="11.5703125" style="19" bestFit="1" customWidth="1"/>
    <col min="12553" max="12800" width="9.28515625" style="19"/>
    <col min="12801" max="12801" width="2.28515625" style="19" customWidth="1"/>
    <col min="12802" max="12802" width="36.42578125" style="19" customWidth="1"/>
    <col min="12803" max="12803" width="30.28515625" style="19" customWidth="1"/>
    <col min="12804" max="12804" width="21.5703125" style="19" customWidth="1"/>
    <col min="12805" max="12805" width="19.28515625" style="19" customWidth="1"/>
    <col min="12806" max="12806" width="30.28515625" style="19" customWidth="1"/>
    <col min="12807" max="12807" width="9.28515625" style="19"/>
    <col min="12808" max="12808" width="11.5703125" style="19" bestFit="1" customWidth="1"/>
    <col min="12809" max="13056" width="9.28515625" style="19"/>
    <col min="13057" max="13057" width="2.28515625" style="19" customWidth="1"/>
    <col min="13058" max="13058" width="36.42578125" style="19" customWidth="1"/>
    <col min="13059" max="13059" width="30.28515625" style="19" customWidth="1"/>
    <col min="13060" max="13060" width="21.5703125" style="19" customWidth="1"/>
    <col min="13061" max="13061" width="19.28515625" style="19" customWidth="1"/>
    <col min="13062" max="13062" width="30.28515625" style="19" customWidth="1"/>
    <col min="13063" max="13063" width="9.28515625" style="19"/>
    <col min="13064" max="13064" width="11.5703125" style="19" bestFit="1" customWidth="1"/>
    <col min="13065" max="13312" width="9.28515625" style="19"/>
    <col min="13313" max="13313" width="2.28515625" style="19" customWidth="1"/>
    <col min="13314" max="13314" width="36.42578125" style="19" customWidth="1"/>
    <col min="13315" max="13315" width="30.28515625" style="19" customWidth="1"/>
    <col min="13316" max="13316" width="21.5703125" style="19" customWidth="1"/>
    <col min="13317" max="13317" width="19.28515625" style="19" customWidth="1"/>
    <col min="13318" max="13318" width="30.28515625" style="19" customWidth="1"/>
    <col min="13319" max="13319" width="9.28515625" style="19"/>
    <col min="13320" max="13320" width="11.5703125" style="19" bestFit="1" customWidth="1"/>
    <col min="13321" max="13568" width="9.28515625" style="19"/>
    <col min="13569" max="13569" width="2.28515625" style="19" customWidth="1"/>
    <col min="13570" max="13570" width="36.42578125" style="19" customWidth="1"/>
    <col min="13571" max="13571" width="30.28515625" style="19" customWidth="1"/>
    <col min="13572" max="13572" width="21.5703125" style="19" customWidth="1"/>
    <col min="13573" max="13573" width="19.28515625" style="19" customWidth="1"/>
    <col min="13574" max="13574" width="30.28515625" style="19" customWidth="1"/>
    <col min="13575" max="13575" width="9.28515625" style="19"/>
    <col min="13576" max="13576" width="11.5703125" style="19" bestFit="1" customWidth="1"/>
    <col min="13577" max="13824" width="9.28515625" style="19"/>
    <col min="13825" max="13825" width="2.28515625" style="19" customWidth="1"/>
    <col min="13826" max="13826" width="36.42578125" style="19" customWidth="1"/>
    <col min="13827" max="13827" width="30.28515625" style="19" customWidth="1"/>
    <col min="13828" max="13828" width="21.5703125" style="19" customWidth="1"/>
    <col min="13829" max="13829" width="19.28515625" style="19" customWidth="1"/>
    <col min="13830" max="13830" width="30.28515625" style="19" customWidth="1"/>
    <col min="13831" max="13831" width="9.28515625" style="19"/>
    <col min="13832" max="13832" width="11.5703125" style="19" bestFit="1" customWidth="1"/>
    <col min="13833" max="14080" width="9.28515625" style="19"/>
    <col min="14081" max="14081" width="2.28515625" style="19" customWidth="1"/>
    <col min="14082" max="14082" width="36.42578125" style="19" customWidth="1"/>
    <col min="14083" max="14083" width="30.28515625" style="19" customWidth="1"/>
    <col min="14084" max="14084" width="21.5703125" style="19" customWidth="1"/>
    <col min="14085" max="14085" width="19.28515625" style="19" customWidth="1"/>
    <col min="14086" max="14086" width="30.28515625" style="19" customWidth="1"/>
    <col min="14087" max="14087" width="9.28515625" style="19"/>
    <col min="14088" max="14088" width="11.5703125" style="19" bestFit="1" customWidth="1"/>
    <col min="14089" max="14336" width="9.28515625" style="19"/>
    <col min="14337" max="14337" width="2.28515625" style="19" customWidth="1"/>
    <col min="14338" max="14338" width="36.42578125" style="19" customWidth="1"/>
    <col min="14339" max="14339" width="30.28515625" style="19" customWidth="1"/>
    <col min="14340" max="14340" width="21.5703125" style="19" customWidth="1"/>
    <col min="14341" max="14341" width="19.28515625" style="19" customWidth="1"/>
    <col min="14342" max="14342" width="30.28515625" style="19" customWidth="1"/>
    <col min="14343" max="14343" width="9.28515625" style="19"/>
    <col min="14344" max="14344" width="11.5703125" style="19" bestFit="1" customWidth="1"/>
    <col min="14345" max="14592" width="9.28515625" style="19"/>
    <col min="14593" max="14593" width="2.28515625" style="19" customWidth="1"/>
    <col min="14594" max="14594" width="36.42578125" style="19" customWidth="1"/>
    <col min="14595" max="14595" width="30.28515625" style="19" customWidth="1"/>
    <col min="14596" max="14596" width="21.5703125" style="19" customWidth="1"/>
    <col min="14597" max="14597" width="19.28515625" style="19" customWidth="1"/>
    <col min="14598" max="14598" width="30.28515625" style="19" customWidth="1"/>
    <col min="14599" max="14599" width="9.28515625" style="19"/>
    <col min="14600" max="14600" width="11.5703125" style="19" bestFit="1" customWidth="1"/>
    <col min="14601" max="14848" width="9.28515625" style="19"/>
    <col min="14849" max="14849" width="2.28515625" style="19" customWidth="1"/>
    <col min="14850" max="14850" width="36.42578125" style="19" customWidth="1"/>
    <col min="14851" max="14851" width="30.28515625" style="19" customWidth="1"/>
    <col min="14852" max="14852" width="21.5703125" style="19" customWidth="1"/>
    <col min="14853" max="14853" width="19.28515625" style="19" customWidth="1"/>
    <col min="14854" max="14854" width="30.28515625" style="19" customWidth="1"/>
    <col min="14855" max="14855" width="9.28515625" style="19"/>
    <col min="14856" max="14856" width="11.5703125" style="19" bestFit="1" customWidth="1"/>
    <col min="14857" max="15104" width="9.28515625" style="19"/>
    <col min="15105" max="15105" width="2.28515625" style="19" customWidth="1"/>
    <col min="15106" max="15106" width="36.42578125" style="19" customWidth="1"/>
    <col min="15107" max="15107" width="30.28515625" style="19" customWidth="1"/>
    <col min="15108" max="15108" width="21.5703125" style="19" customWidth="1"/>
    <col min="15109" max="15109" width="19.28515625" style="19" customWidth="1"/>
    <col min="15110" max="15110" width="30.28515625" style="19" customWidth="1"/>
    <col min="15111" max="15111" width="9.28515625" style="19"/>
    <col min="15112" max="15112" width="11.5703125" style="19" bestFit="1" customWidth="1"/>
    <col min="15113" max="15360" width="9.28515625" style="19"/>
    <col min="15361" max="15361" width="2.28515625" style="19" customWidth="1"/>
    <col min="15362" max="15362" width="36.42578125" style="19" customWidth="1"/>
    <col min="15363" max="15363" width="30.28515625" style="19" customWidth="1"/>
    <col min="15364" max="15364" width="21.5703125" style="19" customWidth="1"/>
    <col min="15365" max="15365" width="19.28515625" style="19" customWidth="1"/>
    <col min="15366" max="15366" width="30.28515625" style="19" customWidth="1"/>
    <col min="15367" max="15367" width="9.28515625" style="19"/>
    <col min="15368" max="15368" width="11.5703125" style="19" bestFit="1" customWidth="1"/>
    <col min="15369" max="15616" width="9.28515625" style="19"/>
    <col min="15617" max="15617" width="2.28515625" style="19" customWidth="1"/>
    <col min="15618" max="15618" width="36.42578125" style="19" customWidth="1"/>
    <col min="15619" max="15619" width="30.28515625" style="19" customWidth="1"/>
    <col min="15620" max="15620" width="21.5703125" style="19" customWidth="1"/>
    <col min="15621" max="15621" width="19.28515625" style="19" customWidth="1"/>
    <col min="15622" max="15622" width="30.28515625" style="19" customWidth="1"/>
    <col min="15623" max="15623" width="9.28515625" style="19"/>
    <col min="15624" max="15624" width="11.5703125" style="19" bestFit="1" customWidth="1"/>
    <col min="15625" max="15872" width="9.28515625" style="19"/>
    <col min="15873" max="15873" width="2.28515625" style="19" customWidth="1"/>
    <col min="15874" max="15874" width="36.42578125" style="19" customWidth="1"/>
    <col min="15875" max="15875" width="30.28515625" style="19" customWidth="1"/>
    <col min="15876" max="15876" width="21.5703125" style="19" customWidth="1"/>
    <col min="15877" max="15877" width="19.28515625" style="19" customWidth="1"/>
    <col min="15878" max="15878" width="30.28515625" style="19" customWidth="1"/>
    <col min="15879" max="15879" width="9.28515625" style="19"/>
    <col min="15880" max="15880" width="11.5703125" style="19" bestFit="1" customWidth="1"/>
    <col min="15881" max="16128" width="9.28515625" style="19"/>
    <col min="16129" max="16129" width="2.28515625" style="19" customWidth="1"/>
    <col min="16130" max="16130" width="36.42578125" style="19" customWidth="1"/>
    <col min="16131" max="16131" width="30.28515625" style="19" customWidth="1"/>
    <col min="16132" max="16132" width="21.5703125" style="19" customWidth="1"/>
    <col min="16133" max="16133" width="19.28515625" style="19" customWidth="1"/>
    <col min="16134" max="16134" width="30.28515625" style="19" customWidth="1"/>
    <col min="16135" max="16135" width="9.28515625" style="19"/>
    <col min="16136" max="16136" width="11.5703125" style="19" bestFit="1" customWidth="1"/>
    <col min="16137" max="16384" width="9.28515625" style="19"/>
  </cols>
  <sheetData>
    <row r="1" spans="2:9" ht="12" customHeight="1" x14ac:dyDescent="0.2">
      <c r="B1" s="16"/>
    </row>
    <row r="2" spans="2:9" ht="25.5" customHeight="1" x14ac:dyDescent="0.2">
      <c r="B2" s="135" t="s">
        <v>442</v>
      </c>
      <c r="C2" s="135"/>
      <c r="D2" s="135"/>
      <c r="E2" s="135"/>
      <c r="F2" s="135"/>
    </row>
    <row r="3" spans="2:9" ht="9.75" customHeight="1" x14ac:dyDescent="0.2">
      <c r="B3" s="16"/>
    </row>
    <row r="4" spans="2:9" ht="20.25" customHeight="1" x14ac:dyDescent="0.2">
      <c r="B4" s="54" t="s">
        <v>1</v>
      </c>
      <c r="C4" s="54" t="s">
        <v>2</v>
      </c>
      <c r="D4" s="54" t="s">
        <v>4</v>
      </c>
      <c r="E4" s="54" t="s">
        <v>5</v>
      </c>
      <c r="F4" s="54" t="s">
        <v>6</v>
      </c>
      <c r="G4" s="95" t="s">
        <v>1303</v>
      </c>
      <c r="H4" s="95" t="s">
        <v>1304</v>
      </c>
      <c r="I4" s="95" t="s">
        <v>1287</v>
      </c>
    </row>
    <row r="5" spans="2:9" s="23" customFormat="1" ht="55.5" customHeight="1" x14ac:dyDescent="0.2">
      <c r="B5" s="20" t="s">
        <v>443</v>
      </c>
      <c r="C5" s="21" t="s">
        <v>444</v>
      </c>
      <c r="D5" s="20" t="s">
        <v>445</v>
      </c>
      <c r="E5" s="22" t="s">
        <v>446</v>
      </c>
      <c r="F5" s="21" t="s">
        <v>447</v>
      </c>
      <c r="G5" s="86" t="s">
        <v>1305</v>
      </c>
    </row>
    <row r="6" spans="2:9" s="24" customFormat="1" ht="54" customHeight="1" x14ac:dyDescent="0.2">
      <c r="B6" s="20" t="s">
        <v>448</v>
      </c>
      <c r="C6" s="21" t="s">
        <v>449</v>
      </c>
      <c r="D6" s="20" t="s">
        <v>450</v>
      </c>
      <c r="E6" t="s">
        <v>1306</v>
      </c>
      <c r="F6" s="86" t="s">
        <v>1307</v>
      </c>
      <c r="H6" s="24" t="s">
        <v>1308</v>
      </c>
    </row>
    <row r="7" spans="2:9" s="24" customFormat="1" ht="36.75" customHeight="1" x14ac:dyDescent="0.2">
      <c r="B7" s="20" t="s">
        <v>451</v>
      </c>
      <c r="C7" s="21" t="s">
        <v>452</v>
      </c>
      <c r="D7" t="s">
        <v>1309</v>
      </c>
      <c r="E7" s="86" t="s">
        <v>1310</v>
      </c>
      <c r="F7" s="86" t="s">
        <v>1311</v>
      </c>
      <c r="G7" s="86" t="s">
        <v>1312</v>
      </c>
      <c r="H7" s="24" t="s">
        <v>2204</v>
      </c>
    </row>
    <row r="8" spans="2:9" s="24" customFormat="1" ht="48" customHeight="1" x14ac:dyDescent="0.2">
      <c r="B8" s="20" t="s">
        <v>453</v>
      </c>
      <c r="C8" s="91" t="s">
        <v>1313</v>
      </c>
      <c r="D8" t="s">
        <v>1314</v>
      </c>
      <c r="E8" s="21"/>
      <c r="F8" s="86" t="s">
        <v>1315</v>
      </c>
      <c r="G8" s="94" t="s">
        <v>1316</v>
      </c>
    </row>
    <row r="9" spans="2:9" s="24" customFormat="1" ht="42" customHeight="1" x14ac:dyDescent="0.2">
      <c r="B9" s="20" t="s">
        <v>454</v>
      </c>
      <c r="C9" s="86" t="s">
        <v>1317</v>
      </c>
      <c r="D9" s="20"/>
      <c r="E9" s="21"/>
      <c r="F9" s="86" t="s">
        <v>1318</v>
      </c>
    </row>
    <row r="10" spans="2:9" s="24" customFormat="1" ht="36.75" customHeight="1" x14ac:dyDescent="0.2">
      <c r="B10" s="20" t="s">
        <v>455</v>
      </c>
      <c r="C10" s="86" t="s">
        <v>1319</v>
      </c>
      <c r="D10" t="s">
        <v>1320</v>
      </c>
      <c r="E10" s="21"/>
      <c r="F10" s="86" t="s">
        <v>1321</v>
      </c>
      <c r="G10" s="94" t="s">
        <v>1322</v>
      </c>
      <c r="I10" s="88" t="s">
        <v>1323</v>
      </c>
    </row>
    <row r="11" spans="2:9" s="24" customFormat="1" ht="39.75" customHeight="1" x14ac:dyDescent="0.2">
      <c r="B11" s="20" t="s">
        <v>456</v>
      </c>
      <c r="C11" s="86" t="s">
        <v>1324</v>
      </c>
      <c r="D11" t="s">
        <v>1325</v>
      </c>
      <c r="E11" t="s">
        <v>1326</v>
      </c>
      <c r="F11" s="86" t="s">
        <v>1327</v>
      </c>
    </row>
    <row r="12" spans="2:9" s="24" customFormat="1" ht="49.5" customHeight="1" x14ac:dyDescent="0.2">
      <c r="B12" s="20" t="s">
        <v>457</v>
      </c>
      <c r="C12" s="21" t="s">
        <v>458</v>
      </c>
      <c r="D12" s="25" t="s">
        <v>459</v>
      </c>
      <c r="E12" s="21"/>
      <c r="F12" s="86" t="s">
        <v>1328</v>
      </c>
    </row>
    <row r="13" spans="2:9" s="24" customFormat="1" ht="38.25" customHeight="1" x14ac:dyDescent="0.2">
      <c r="B13" s="20" t="s">
        <v>460</v>
      </c>
      <c r="C13" s="21" t="s">
        <v>461</v>
      </c>
      <c r="D13" t="s">
        <v>1329</v>
      </c>
      <c r="E13" s="21"/>
      <c r="F13" s="86" t="s">
        <v>1330</v>
      </c>
      <c r="G13" s="94" t="s">
        <v>1331</v>
      </c>
    </row>
    <row r="14" spans="2:9" s="24" customFormat="1" ht="55.5" customHeight="1" x14ac:dyDescent="0.2">
      <c r="B14" s="20" t="s">
        <v>462</v>
      </c>
      <c r="C14" s="21" t="s">
        <v>463</v>
      </c>
      <c r="D14" s="25" t="s">
        <v>464</v>
      </c>
      <c r="E14" s="171" t="s">
        <v>465</v>
      </c>
      <c r="F14" t="s">
        <v>1332</v>
      </c>
      <c r="G14" s="86"/>
    </row>
    <row r="15" spans="2:9" s="24" customFormat="1" ht="48.75" customHeight="1" x14ac:dyDescent="0.2">
      <c r="B15" s="20" t="s">
        <v>466</v>
      </c>
      <c r="C15" s="21" t="s">
        <v>1333</v>
      </c>
      <c r="D15" t="s">
        <v>1334</v>
      </c>
      <c r="E15" s="21"/>
      <c r="F15" s="86" t="s">
        <v>1335</v>
      </c>
      <c r="G15" s="94" t="s">
        <v>1336</v>
      </c>
    </row>
    <row r="16" spans="2:9" s="23" customFormat="1" ht="42" customHeight="1" x14ac:dyDescent="0.2">
      <c r="B16" s="20" t="s">
        <v>468</v>
      </c>
      <c r="C16" s="21" t="s">
        <v>469</v>
      </c>
      <c r="D16" s="20" t="s">
        <v>470</v>
      </c>
      <c r="E16" s="21" t="s">
        <v>471</v>
      </c>
      <c r="F16" s="21" t="s">
        <v>472</v>
      </c>
      <c r="I16" s="88" t="s">
        <v>1337</v>
      </c>
    </row>
    <row r="17" spans="2:13" s="23" customFormat="1" ht="36" customHeight="1" x14ac:dyDescent="0.2">
      <c r="B17" s="20" t="s">
        <v>473</v>
      </c>
      <c r="C17" s="86" t="s">
        <v>1338</v>
      </c>
      <c r="D17" t="s">
        <v>1339</v>
      </c>
      <c r="E17" s="86" t="s">
        <v>1340</v>
      </c>
      <c r="F17" s="86" t="s">
        <v>1341</v>
      </c>
    </row>
    <row r="18" spans="2:13" s="24" customFormat="1" ht="36.75" customHeight="1" x14ac:dyDescent="0.2">
      <c r="B18" s="20" t="s">
        <v>474</v>
      </c>
      <c r="C18" s="86" t="s">
        <v>1342</v>
      </c>
      <c r="D18" s="20" t="s">
        <v>476</v>
      </c>
      <c r="E18" t="s">
        <v>1343</v>
      </c>
      <c r="F18" s="86" t="s">
        <v>1344</v>
      </c>
      <c r="G18" s="96" t="s">
        <v>1345</v>
      </c>
      <c r="H18" s="23"/>
    </row>
    <row r="19" spans="2:13" s="24" customFormat="1" ht="36.75" customHeight="1" x14ac:dyDescent="0.2">
      <c r="B19" s="20" t="s">
        <v>478</v>
      </c>
      <c r="C19" s="97" t="s">
        <v>1346</v>
      </c>
      <c r="D19" s="20" t="s">
        <v>480</v>
      </c>
      <c r="E19" s="22" t="s">
        <v>481</v>
      </c>
      <c r="F19" s="86" t="s">
        <v>1341</v>
      </c>
      <c r="G19" s="86" t="s">
        <v>1347</v>
      </c>
      <c r="H19" t="s">
        <v>1348</v>
      </c>
    </row>
    <row r="20" spans="2:13" s="24" customFormat="1" ht="42.75" customHeight="1" x14ac:dyDescent="0.2">
      <c r="B20" s="20" t="s">
        <v>482</v>
      </c>
      <c r="C20" s="21" t="s">
        <v>483</v>
      </c>
      <c r="D20" s="20" t="s">
        <v>484</v>
      </c>
      <c r="E20" s="22" t="s">
        <v>485</v>
      </c>
      <c r="F20" s="86" t="s">
        <v>1349</v>
      </c>
      <c r="G20" s="94" t="s">
        <v>1350</v>
      </c>
      <c r="H20" s="86" t="s">
        <v>1351</v>
      </c>
    </row>
    <row r="21" spans="2:13" s="24" customFormat="1" ht="41.25" customHeight="1" x14ac:dyDescent="0.2">
      <c r="B21" s="20" t="s">
        <v>486</v>
      </c>
      <c r="C21" s="86" t="s">
        <v>1352</v>
      </c>
      <c r="D21" t="s">
        <v>1353</v>
      </c>
      <c r="E21" s="21"/>
      <c r="F21" s="86" t="s">
        <v>1354</v>
      </c>
      <c r="G21" s="86"/>
    </row>
    <row r="22" spans="2:13" s="176" customFormat="1" ht="51" customHeight="1" x14ac:dyDescent="0.2">
      <c r="B22" s="173" t="s">
        <v>487</v>
      </c>
      <c r="C22" s="174" t="s">
        <v>488</v>
      </c>
      <c r="D22" s="173" t="s">
        <v>489</v>
      </c>
      <c r="E22" s="178" t="s">
        <v>490</v>
      </c>
      <c r="F22" s="172" t="s">
        <v>1355</v>
      </c>
      <c r="G22" s="175" t="s">
        <v>1356</v>
      </c>
    </row>
    <row r="23" spans="2:13" s="24" customFormat="1" ht="50.25" customHeight="1" x14ac:dyDescent="0.2">
      <c r="B23" s="20" t="s">
        <v>491</v>
      </c>
      <c r="C23" s="21" t="s">
        <v>492</v>
      </c>
      <c r="D23" t="s">
        <v>1357</v>
      </c>
      <c r="E23" s="21"/>
      <c r="F23" s="86" t="s">
        <v>1358</v>
      </c>
      <c r="G23" s="96" t="s">
        <v>1359</v>
      </c>
    </row>
    <row r="24" spans="2:13" s="24" customFormat="1" ht="51" customHeight="1" x14ac:dyDescent="0.2">
      <c r="B24" s="20" t="s">
        <v>493</v>
      </c>
      <c r="C24" s="21" t="s">
        <v>494</v>
      </c>
      <c r="D24" s="20" t="s">
        <v>495</v>
      </c>
      <c r="E24" s="21" t="s">
        <v>496</v>
      </c>
      <c r="F24" s="21" t="s">
        <v>497</v>
      </c>
    </row>
    <row r="25" spans="2:13" s="24" customFormat="1" ht="33.75" customHeight="1" x14ac:dyDescent="0.2">
      <c r="B25" s="20" t="s">
        <v>498</v>
      </c>
      <c r="C25" s="21" t="s">
        <v>499</v>
      </c>
      <c r="D25" s="20">
        <v>914238690</v>
      </c>
      <c r="E25" s="22" t="s">
        <v>500</v>
      </c>
      <c r="F25" s="86" t="s">
        <v>1360</v>
      </c>
    </row>
    <row r="26" spans="2:13" s="24" customFormat="1" ht="89.25" customHeight="1" x14ac:dyDescent="0.2">
      <c r="B26" s="20" t="s">
        <v>501</v>
      </c>
      <c r="C26" s="21" t="s">
        <v>502</v>
      </c>
      <c r="D26" s="20" t="s">
        <v>503</v>
      </c>
      <c r="E26" s="21" t="s">
        <v>504</v>
      </c>
      <c r="F26" t="s">
        <v>1361</v>
      </c>
      <c r="G26" s="94" t="s">
        <v>1362</v>
      </c>
      <c r="H26" t="s">
        <v>1363</v>
      </c>
      <c r="I26" s="26"/>
      <c r="J26" s="26"/>
      <c r="K26" s="26"/>
      <c r="L26" s="26"/>
      <c r="M26" s="26"/>
    </row>
  </sheetData>
  <mergeCells count="1">
    <mergeCell ref="B2:F2"/>
  </mergeCells>
  <hyperlinks>
    <hyperlink ref="E22" r:id="rId1" xr:uid="{F353F4CD-F672-4027-B81A-1A0331781CEE}"/>
    <hyperlink ref="E20" r:id="rId2" xr:uid="{5BA41683-B0DD-46C7-9AB6-DE6B21F89D14}"/>
    <hyperlink ref="E19" r:id="rId3" xr:uid="{B9AD938F-3411-45AB-B8B1-201CDCCA6455}"/>
    <hyperlink ref="E25" r:id="rId4" xr:uid="{B296ED99-148D-4155-91F6-FED4648879C7}"/>
    <hyperlink ref="E14" r:id="rId5" xr:uid="{4DEF00A0-5694-411E-8EFA-70F5FD1AF91C}"/>
    <hyperlink ref="G8" r:id="rId6" location=":~:text=S%C3%A3o%20Paulo%20%2F%20SP" xr:uid="{727F1B74-3AEC-40C7-930A-61200B26C63B}"/>
    <hyperlink ref="I10" r:id="rId7" xr:uid="{40D8E92C-F7CC-4327-AB3A-CEE40B47CFE1}"/>
    <hyperlink ref="G10" r:id="rId8" location=":~:text=" xr:uid="{15F7F891-E507-46E2-89FA-201D9CA92BD3}"/>
    <hyperlink ref="G13" r:id="rId9" location=":~:text=Nicol%C3%A1s%20Correa%20S,Spain" xr:uid="{33ABDA89-C5F0-444C-8272-0C39E3215741}"/>
    <hyperlink ref="G15" r:id="rId10" location=":~:text=En%20la%20d%C3%A9cada%20de%20los,fundan%20Inversiones%20Bah%C3%ADa" xr:uid="{4B742AF0-D3F9-484A-AD96-F4A16D31B015}"/>
    <hyperlink ref="I16" r:id="rId11" xr:uid="{C54E0F76-D84C-4092-AB45-59375E97BCD3}"/>
    <hyperlink ref="G18" r:id="rId12" location=":~:text=OFICINAS%20CENTRALES%3A" xr:uid="{0D0AC8DF-706A-4FAA-A71C-10FE5F53D6D2}"/>
    <hyperlink ref="G20" r:id="rId13" location=":~:text=https%3A//www.omegagestion.com/en/" xr:uid="{5103DE9E-9B42-489A-8327-4D2D781DF188}"/>
    <hyperlink ref="G22" r:id="rId14" location=":~:text=Conforme%20a%20lo%20dispuesto%20en,individual%20a%20todos%20los%20accionistas" xr:uid="{E7A8AA53-631B-4BB0-807F-5355988D0F15}"/>
    <hyperlink ref="G23" r:id="rId15" location=":~:text=%5BPDF%5D%20pontegadea%20inversiones%2C%20sl.%20,Mercantil%20de%20La%20Coru%C3%B1a" xr:uid="{A9A8E24D-25AB-4B3F-88EC-624A234D6BEC}"/>
    <hyperlink ref="G26" r:id="rId16" location=":~:text=,mail%3A%20communications%40mcapitalp.com" xr:uid="{9095306C-661A-4AEA-89B2-44249EFFCC56}"/>
  </hyperlinks>
  <printOptions horizontalCentered="1"/>
  <pageMargins left="0" right="0" top="0" bottom="0" header="0.31496062992125984" footer="0.31496062992125984"/>
  <pageSetup paperSize="9" scale="81" fitToHeight="0" orientation="landscape" r:id="rId17"/>
  <rowBreaks count="1" manualBreakCount="1">
    <brk id="15" min="1" max="12" man="1"/>
  </rowBreaks>
  <drawing r:id="rId1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2AD9E-8BDF-4CC0-9242-A757F42876CD}">
  <sheetPr>
    <tabColor theme="6"/>
  </sheetPr>
  <dimension ref="A1:Q35"/>
  <sheetViews>
    <sheetView topLeftCell="E1" zoomScale="86" zoomScaleNormal="86" workbookViewId="0">
      <selection activeCell="A5" sqref="A5:A35"/>
    </sheetView>
  </sheetViews>
  <sheetFormatPr defaultColWidth="10.7109375" defaultRowHeight="15" outlineLevelCol="1" x14ac:dyDescent="0.25"/>
  <cols>
    <col min="1" max="1" width="27.7109375" style="1" customWidth="1"/>
    <col min="2" max="3" width="47.28515625" style="1" customWidth="1"/>
    <col min="4" max="4" width="40.28515625" style="1" customWidth="1"/>
    <col min="5" max="7" width="40.42578125" style="1" customWidth="1"/>
    <col min="8" max="8" width="29.7109375" style="1" customWidth="1"/>
    <col min="9" max="9" width="20.7109375" style="1" customWidth="1" outlineLevel="1"/>
    <col min="10" max="11" width="34.28515625" style="1" customWidth="1" outlineLevel="1"/>
    <col min="12" max="12" width="36.28515625" style="1" customWidth="1" outlineLevel="1"/>
    <col min="13" max="13" width="23.7109375" style="1" customWidth="1" outlineLevel="1"/>
    <col min="14" max="14" width="15.7109375" style="1" customWidth="1"/>
    <col min="15" max="15" width="31.5703125" style="1" customWidth="1"/>
    <col min="16" max="16" width="36.5703125" style="1" bestFit="1" customWidth="1"/>
    <col min="17" max="17" width="35.42578125" style="1" bestFit="1" customWidth="1"/>
    <col min="18" max="258" width="10.7109375" style="1"/>
    <col min="259" max="259" width="27.7109375" style="1" customWidth="1"/>
    <col min="260" max="260" width="47.28515625" style="1" customWidth="1"/>
    <col min="261" max="266" width="0" style="1" hidden="1" customWidth="1"/>
    <col min="267" max="267" width="34.28515625" style="1" customWidth="1"/>
    <col min="268" max="268" width="36.28515625" style="1" customWidth="1"/>
    <col min="269" max="269" width="23.7109375" style="1" customWidth="1"/>
    <col min="270" max="270" width="36.7109375" style="1" customWidth="1"/>
    <col min="271" max="514" width="10.7109375" style="1"/>
    <col min="515" max="515" width="27.7109375" style="1" customWidth="1"/>
    <col min="516" max="516" width="47.28515625" style="1" customWidth="1"/>
    <col min="517" max="522" width="0" style="1" hidden="1" customWidth="1"/>
    <col min="523" max="523" width="34.28515625" style="1" customWidth="1"/>
    <col min="524" max="524" width="36.28515625" style="1" customWidth="1"/>
    <col min="525" max="525" width="23.7109375" style="1" customWidth="1"/>
    <col min="526" max="526" width="36.7109375" style="1" customWidth="1"/>
    <col min="527" max="770" width="10.7109375" style="1"/>
    <col min="771" max="771" width="27.7109375" style="1" customWidth="1"/>
    <col min="772" max="772" width="47.28515625" style="1" customWidth="1"/>
    <col min="773" max="778" width="0" style="1" hidden="1" customWidth="1"/>
    <col min="779" max="779" width="34.28515625" style="1" customWidth="1"/>
    <col min="780" max="780" width="36.28515625" style="1" customWidth="1"/>
    <col min="781" max="781" width="23.7109375" style="1" customWidth="1"/>
    <col min="782" max="782" width="36.7109375" style="1" customWidth="1"/>
    <col min="783" max="1026" width="10.7109375" style="1"/>
    <col min="1027" max="1027" width="27.7109375" style="1" customWidth="1"/>
    <col min="1028" max="1028" width="47.28515625" style="1" customWidth="1"/>
    <col min="1029" max="1034" width="0" style="1" hidden="1" customWidth="1"/>
    <col min="1035" max="1035" width="34.28515625" style="1" customWidth="1"/>
    <col min="1036" max="1036" width="36.28515625" style="1" customWidth="1"/>
    <col min="1037" max="1037" width="23.7109375" style="1" customWidth="1"/>
    <col min="1038" max="1038" width="36.7109375" style="1" customWidth="1"/>
    <col min="1039" max="1282" width="10.7109375" style="1"/>
    <col min="1283" max="1283" width="27.7109375" style="1" customWidth="1"/>
    <col min="1284" max="1284" width="47.28515625" style="1" customWidth="1"/>
    <col min="1285" max="1290" width="0" style="1" hidden="1" customWidth="1"/>
    <col min="1291" max="1291" width="34.28515625" style="1" customWidth="1"/>
    <col min="1292" max="1292" width="36.28515625" style="1" customWidth="1"/>
    <col min="1293" max="1293" width="23.7109375" style="1" customWidth="1"/>
    <col min="1294" max="1294" width="36.7109375" style="1" customWidth="1"/>
    <col min="1295" max="1538" width="10.7109375" style="1"/>
    <col min="1539" max="1539" width="27.7109375" style="1" customWidth="1"/>
    <col min="1540" max="1540" width="47.28515625" style="1" customWidth="1"/>
    <col min="1541" max="1546" width="0" style="1" hidden="1" customWidth="1"/>
    <col min="1547" max="1547" width="34.28515625" style="1" customWidth="1"/>
    <col min="1548" max="1548" width="36.28515625" style="1" customWidth="1"/>
    <col min="1549" max="1549" width="23.7109375" style="1" customWidth="1"/>
    <col min="1550" max="1550" width="36.7109375" style="1" customWidth="1"/>
    <col min="1551" max="1794" width="10.7109375" style="1"/>
    <col min="1795" max="1795" width="27.7109375" style="1" customWidth="1"/>
    <col min="1796" max="1796" width="47.28515625" style="1" customWidth="1"/>
    <col min="1797" max="1802" width="0" style="1" hidden="1" customWidth="1"/>
    <col min="1803" max="1803" width="34.28515625" style="1" customWidth="1"/>
    <col min="1804" max="1804" width="36.28515625" style="1" customWidth="1"/>
    <col min="1805" max="1805" width="23.7109375" style="1" customWidth="1"/>
    <col min="1806" max="1806" width="36.7109375" style="1" customWidth="1"/>
    <col min="1807" max="2050" width="10.7109375" style="1"/>
    <col min="2051" max="2051" width="27.7109375" style="1" customWidth="1"/>
    <col min="2052" max="2052" width="47.28515625" style="1" customWidth="1"/>
    <col min="2053" max="2058" width="0" style="1" hidden="1" customWidth="1"/>
    <col min="2059" max="2059" width="34.28515625" style="1" customWidth="1"/>
    <col min="2060" max="2060" width="36.28515625" style="1" customWidth="1"/>
    <col min="2061" max="2061" width="23.7109375" style="1" customWidth="1"/>
    <col min="2062" max="2062" width="36.7109375" style="1" customWidth="1"/>
    <col min="2063" max="2306" width="10.7109375" style="1"/>
    <col min="2307" max="2307" width="27.7109375" style="1" customWidth="1"/>
    <col min="2308" max="2308" width="47.28515625" style="1" customWidth="1"/>
    <col min="2309" max="2314" width="0" style="1" hidden="1" customWidth="1"/>
    <col min="2315" max="2315" width="34.28515625" style="1" customWidth="1"/>
    <col min="2316" max="2316" width="36.28515625" style="1" customWidth="1"/>
    <col min="2317" max="2317" width="23.7109375" style="1" customWidth="1"/>
    <col min="2318" max="2318" width="36.7109375" style="1" customWidth="1"/>
    <col min="2319" max="2562" width="10.7109375" style="1"/>
    <col min="2563" max="2563" width="27.7109375" style="1" customWidth="1"/>
    <col min="2564" max="2564" width="47.28515625" style="1" customWidth="1"/>
    <col min="2565" max="2570" width="0" style="1" hidden="1" customWidth="1"/>
    <col min="2571" max="2571" width="34.28515625" style="1" customWidth="1"/>
    <col min="2572" max="2572" width="36.28515625" style="1" customWidth="1"/>
    <col min="2573" max="2573" width="23.7109375" style="1" customWidth="1"/>
    <col min="2574" max="2574" width="36.7109375" style="1" customWidth="1"/>
    <col min="2575" max="2818" width="10.7109375" style="1"/>
    <col min="2819" max="2819" width="27.7109375" style="1" customWidth="1"/>
    <col min="2820" max="2820" width="47.28515625" style="1" customWidth="1"/>
    <col min="2821" max="2826" width="0" style="1" hidden="1" customWidth="1"/>
    <col min="2827" max="2827" width="34.28515625" style="1" customWidth="1"/>
    <col min="2828" max="2828" width="36.28515625" style="1" customWidth="1"/>
    <col min="2829" max="2829" width="23.7109375" style="1" customWidth="1"/>
    <col min="2830" max="2830" width="36.7109375" style="1" customWidth="1"/>
    <col min="2831" max="3074" width="10.7109375" style="1"/>
    <col min="3075" max="3075" width="27.7109375" style="1" customWidth="1"/>
    <col min="3076" max="3076" width="47.28515625" style="1" customWidth="1"/>
    <col min="3077" max="3082" width="0" style="1" hidden="1" customWidth="1"/>
    <col min="3083" max="3083" width="34.28515625" style="1" customWidth="1"/>
    <col min="3084" max="3084" width="36.28515625" style="1" customWidth="1"/>
    <col min="3085" max="3085" width="23.7109375" style="1" customWidth="1"/>
    <col min="3086" max="3086" width="36.7109375" style="1" customWidth="1"/>
    <col min="3087" max="3330" width="10.7109375" style="1"/>
    <col min="3331" max="3331" width="27.7109375" style="1" customWidth="1"/>
    <col min="3332" max="3332" width="47.28515625" style="1" customWidth="1"/>
    <col min="3333" max="3338" width="0" style="1" hidden="1" customWidth="1"/>
    <col min="3339" max="3339" width="34.28515625" style="1" customWidth="1"/>
    <col min="3340" max="3340" width="36.28515625" style="1" customWidth="1"/>
    <col min="3341" max="3341" width="23.7109375" style="1" customWidth="1"/>
    <col min="3342" max="3342" width="36.7109375" style="1" customWidth="1"/>
    <col min="3343" max="3586" width="10.7109375" style="1"/>
    <col min="3587" max="3587" width="27.7109375" style="1" customWidth="1"/>
    <col min="3588" max="3588" width="47.28515625" style="1" customWidth="1"/>
    <col min="3589" max="3594" width="0" style="1" hidden="1" customWidth="1"/>
    <col min="3595" max="3595" width="34.28515625" style="1" customWidth="1"/>
    <col min="3596" max="3596" width="36.28515625" style="1" customWidth="1"/>
    <col min="3597" max="3597" width="23.7109375" style="1" customWidth="1"/>
    <col min="3598" max="3598" width="36.7109375" style="1" customWidth="1"/>
    <col min="3599" max="3842" width="10.7109375" style="1"/>
    <col min="3843" max="3843" width="27.7109375" style="1" customWidth="1"/>
    <col min="3844" max="3844" width="47.28515625" style="1" customWidth="1"/>
    <col min="3845" max="3850" width="0" style="1" hidden="1" customWidth="1"/>
    <col min="3851" max="3851" width="34.28515625" style="1" customWidth="1"/>
    <col min="3852" max="3852" width="36.28515625" style="1" customWidth="1"/>
    <col min="3853" max="3853" width="23.7109375" style="1" customWidth="1"/>
    <col min="3854" max="3854" width="36.7109375" style="1" customWidth="1"/>
    <col min="3855" max="4098" width="10.7109375" style="1"/>
    <col min="4099" max="4099" width="27.7109375" style="1" customWidth="1"/>
    <col min="4100" max="4100" width="47.28515625" style="1" customWidth="1"/>
    <col min="4101" max="4106" width="0" style="1" hidden="1" customWidth="1"/>
    <col min="4107" max="4107" width="34.28515625" style="1" customWidth="1"/>
    <col min="4108" max="4108" width="36.28515625" style="1" customWidth="1"/>
    <col min="4109" max="4109" width="23.7109375" style="1" customWidth="1"/>
    <col min="4110" max="4110" width="36.7109375" style="1" customWidth="1"/>
    <col min="4111" max="4354" width="10.7109375" style="1"/>
    <col min="4355" max="4355" width="27.7109375" style="1" customWidth="1"/>
    <col min="4356" max="4356" width="47.28515625" style="1" customWidth="1"/>
    <col min="4357" max="4362" width="0" style="1" hidden="1" customWidth="1"/>
    <col min="4363" max="4363" width="34.28515625" style="1" customWidth="1"/>
    <col min="4364" max="4364" width="36.28515625" style="1" customWidth="1"/>
    <col min="4365" max="4365" width="23.7109375" style="1" customWidth="1"/>
    <col min="4366" max="4366" width="36.7109375" style="1" customWidth="1"/>
    <col min="4367" max="4610" width="10.7109375" style="1"/>
    <col min="4611" max="4611" width="27.7109375" style="1" customWidth="1"/>
    <col min="4612" max="4612" width="47.28515625" style="1" customWidth="1"/>
    <col min="4613" max="4618" width="0" style="1" hidden="1" customWidth="1"/>
    <col min="4619" max="4619" width="34.28515625" style="1" customWidth="1"/>
    <col min="4620" max="4620" width="36.28515625" style="1" customWidth="1"/>
    <col min="4621" max="4621" width="23.7109375" style="1" customWidth="1"/>
    <col min="4622" max="4622" width="36.7109375" style="1" customWidth="1"/>
    <col min="4623" max="4866" width="10.7109375" style="1"/>
    <col min="4867" max="4867" width="27.7109375" style="1" customWidth="1"/>
    <col min="4868" max="4868" width="47.28515625" style="1" customWidth="1"/>
    <col min="4869" max="4874" width="0" style="1" hidden="1" customWidth="1"/>
    <col min="4875" max="4875" width="34.28515625" style="1" customWidth="1"/>
    <col min="4876" max="4876" width="36.28515625" style="1" customWidth="1"/>
    <col min="4877" max="4877" width="23.7109375" style="1" customWidth="1"/>
    <col min="4878" max="4878" width="36.7109375" style="1" customWidth="1"/>
    <col min="4879" max="5122" width="10.7109375" style="1"/>
    <col min="5123" max="5123" width="27.7109375" style="1" customWidth="1"/>
    <col min="5124" max="5124" width="47.28515625" style="1" customWidth="1"/>
    <col min="5125" max="5130" width="0" style="1" hidden="1" customWidth="1"/>
    <col min="5131" max="5131" width="34.28515625" style="1" customWidth="1"/>
    <col min="5132" max="5132" width="36.28515625" style="1" customWidth="1"/>
    <col min="5133" max="5133" width="23.7109375" style="1" customWidth="1"/>
    <col min="5134" max="5134" width="36.7109375" style="1" customWidth="1"/>
    <col min="5135" max="5378" width="10.7109375" style="1"/>
    <col min="5379" max="5379" width="27.7109375" style="1" customWidth="1"/>
    <col min="5380" max="5380" width="47.28515625" style="1" customWidth="1"/>
    <col min="5381" max="5386" width="0" style="1" hidden="1" customWidth="1"/>
    <col min="5387" max="5387" width="34.28515625" style="1" customWidth="1"/>
    <col min="5388" max="5388" width="36.28515625" style="1" customWidth="1"/>
    <col min="5389" max="5389" width="23.7109375" style="1" customWidth="1"/>
    <col min="5390" max="5390" width="36.7109375" style="1" customWidth="1"/>
    <col min="5391" max="5634" width="10.7109375" style="1"/>
    <col min="5635" max="5635" width="27.7109375" style="1" customWidth="1"/>
    <col min="5636" max="5636" width="47.28515625" style="1" customWidth="1"/>
    <col min="5637" max="5642" width="0" style="1" hidden="1" customWidth="1"/>
    <col min="5643" max="5643" width="34.28515625" style="1" customWidth="1"/>
    <col min="5644" max="5644" width="36.28515625" style="1" customWidth="1"/>
    <col min="5645" max="5645" width="23.7109375" style="1" customWidth="1"/>
    <col min="5646" max="5646" width="36.7109375" style="1" customWidth="1"/>
    <col min="5647" max="5890" width="10.7109375" style="1"/>
    <col min="5891" max="5891" width="27.7109375" style="1" customWidth="1"/>
    <col min="5892" max="5892" width="47.28515625" style="1" customWidth="1"/>
    <col min="5893" max="5898" width="0" style="1" hidden="1" customWidth="1"/>
    <col min="5899" max="5899" width="34.28515625" style="1" customWidth="1"/>
    <col min="5900" max="5900" width="36.28515625" style="1" customWidth="1"/>
    <col min="5901" max="5901" width="23.7109375" style="1" customWidth="1"/>
    <col min="5902" max="5902" width="36.7109375" style="1" customWidth="1"/>
    <col min="5903" max="6146" width="10.7109375" style="1"/>
    <col min="6147" max="6147" width="27.7109375" style="1" customWidth="1"/>
    <col min="6148" max="6148" width="47.28515625" style="1" customWidth="1"/>
    <col min="6149" max="6154" width="0" style="1" hidden="1" customWidth="1"/>
    <col min="6155" max="6155" width="34.28515625" style="1" customWidth="1"/>
    <col min="6156" max="6156" width="36.28515625" style="1" customWidth="1"/>
    <col min="6157" max="6157" width="23.7109375" style="1" customWidth="1"/>
    <col min="6158" max="6158" width="36.7109375" style="1" customWidth="1"/>
    <col min="6159" max="6402" width="10.7109375" style="1"/>
    <col min="6403" max="6403" width="27.7109375" style="1" customWidth="1"/>
    <col min="6404" max="6404" width="47.28515625" style="1" customWidth="1"/>
    <col min="6405" max="6410" width="0" style="1" hidden="1" customWidth="1"/>
    <col min="6411" max="6411" width="34.28515625" style="1" customWidth="1"/>
    <col min="6412" max="6412" width="36.28515625" style="1" customWidth="1"/>
    <col min="6413" max="6413" width="23.7109375" style="1" customWidth="1"/>
    <col min="6414" max="6414" width="36.7109375" style="1" customWidth="1"/>
    <col min="6415" max="6658" width="10.7109375" style="1"/>
    <col min="6659" max="6659" width="27.7109375" style="1" customWidth="1"/>
    <col min="6660" max="6660" width="47.28515625" style="1" customWidth="1"/>
    <col min="6661" max="6666" width="0" style="1" hidden="1" customWidth="1"/>
    <col min="6667" max="6667" width="34.28515625" style="1" customWidth="1"/>
    <col min="6668" max="6668" width="36.28515625" style="1" customWidth="1"/>
    <col min="6669" max="6669" width="23.7109375" style="1" customWidth="1"/>
    <col min="6670" max="6670" width="36.7109375" style="1" customWidth="1"/>
    <col min="6671" max="6914" width="10.7109375" style="1"/>
    <col min="6915" max="6915" width="27.7109375" style="1" customWidth="1"/>
    <col min="6916" max="6916" width="47.28515625" style="1" customWidth="1"/>
    <col min="6917" max="6922" width="0" style="1" hidden="1" customWidth="1"/>
    <col min="6923" max="6923" width="34.28515625" style="1" customWidth="1"/>
    <col min="6924" max="6924" width="36.28515625" style="1" customWidth="1"/>
    <col min="6925" max="6925" width="23.7109375" style="1" customWidth="1"/>
    <col min="6926" max="6926" width="36.7109375" style="1" customWidth="1"/>
    <col min="6927" max="7170" width="10.7109375" style="1"/>
    <col min="7171" max="7171" width="27.7109375" style="1" customWidth="1"/>
    <col min="7172" max="7172" width="47.28515625" style="1" customWidth="1"/>
    <col min="7173" max="7178" width="0" style="1" hidden="1" customWidth="1"/>
    <col min="7179" max="7179" width="34.28515625" style="1" customWidth="1"/>
    <col min="7180" max="7180" width="36.28515625" style="1" customWidth="1"/>
    <col min="7181" max="7181" width="23.7109375" style="1" customWidth="1"/>
    <col min="7182" max="7182" width="36.7109375" style="1" customWidth="1"/>
    <col min="7183" max="7426" width="10.7109375" style="1"/>
    <col min="7427" max="7427" width="27.7109375" style="1" customWidth="1"/>
    <col min="7428" max="7428" width="47.28515625" style="1" customWidth="1"/>
    <col min="7429" max="7434" width="0" style="1" hidden="1" customWidth="1"/>
    <col min="7435" max="7435" width="34.28515625" style="1" customWidth="1"/>
    <col min="7436" max="7436" width="36.28515625" style="1" customWidth="1"/>
    <col min="7437" max="7437" width="23.7109375" style="1" customWidth="1"/>
    <col min="7438" max="7438" width="36.7109375" style="1" customWidth="1"/>
    <col min="7439" max="7682" width="10.7109375" style="1"/>
    <col min="7683" max="7683" width="27.7109375" style="1" customWidth="1"/>
    <col min="7684" max="7684" width="47.28515625" style="1" customWidth="1"/>
    <col min="7685" max="7690" width="0" style="1" hidden="1" customWidth="1"/>
    <col min="7691" max="7691" width="34.28515625" style="1" customWidth="1"/>
    <col min="7692" max="7692" width="36.28515625" style="1" customWidth="1"/>
    <col min="7693" max="7693" width="23.7109375" style="1" customWidth="1"/>
    <col min="7694" max="7694" width="36.7109375" style="1" customWidth="1"/>
    <col min="7695" max="7938" width="10.7109375" style="1"/>
    <col min="7939" max="7939" width="27.7109375" style="1" customWidth="1"/>
    <col min="7940" max="7940" width="47.28515625" style="1" customWidth="1"/>
    <col min="7941" max="7946" width="0" style="1" hidden="1" customWidth="1"/>
    <col min="7947" max="7947" width="34.28515625" style="1" customWidth="1"/>
    <col min="7948" max="7948" width="36.28515625" style="1" customWidth="1"/>
    <col min="7949" max="7949" width="23.7109375" style="1" customWidth="1"/>
    <col min="7950" max="7950" width="36.7109375" style="1" customWidth="1"/>
    <col min="7951" max="8194" width="10.7109375" style="1"/>
    <col min="8195" max="8195" width="27.7109375" style="1" customWidth="1"/>
    <col min="8196" max="8196" width="47.28515625" style="1" customWidth="1"/>
    <col min="8197" max="8202" width="0" style="1" hidden="1" customWidth="1"/>
    <col min="8203" max="8203" width="34.28515625" style="1" customWidth="1"/>
    <col min="8204" max="8204" width="36.28515625" style="1" customWidth="1"/>
    <col min="8205" max="8205" width="23.7109375" style="1" customWidth="1"/>
    <col min="8206" max="8206" width="36.7109375" style="1" customWidth="1"/>
    <col min="8207" max="8450" width="10.7109375" style="1"/>
    <col min="8451" max="8451" width="27.7109375" style="1" customWidth="1"/>
    <col min="8452" max="8452" width="47.28515625" style="1" customWidth="1"/>
    <col min="8453" max="8458" width="0" style="1" hidden="1" customWidth="1"/>
    <col min="8459" max="8459" width="34.28515625" style="1" customWidth="1"/>
    <col min="8460" max="8460" width="36.28515625" style="1" customWidth="1"/>
    <col min="8461" max="8461" width="23.7109375" style="1" customWidth="1"/>
    <col min="8462" max="8462" width="36.7109375" style="1" customWidth="1"/>
    <col min="8463" max="8706" width="10.7109375" style="1"/>
    <col min="8707" max="8707" width="27.7109375" style="1" customWidth="1"/>
    <col min="8708" max="8708" width="47.28515625" style="1" customWidth="1"/>
    <col min="8709" max="8714" width="0" style="1" hidden="1" customWidth="1"/>
    <col min="8715" max="8715" width="34.28515625" style="1" customWidth="1"/>
    <col min="8716" max="8716" width="36.28515625" style="1" customWidth="1"/>
    <col min="8717" max="8717" width="23.7109375" style="1" customWidth="1"/>
    <col min="8718" max="8718" width="36.7109375" style="1" customWidth="1"/>
    <col min="8719" max="8962" width="10.7109375" style="1"/>
    <col min="8963" max="8963" width="27.7109375" style="1" customWidth="1"/>
    <col min="8964" max="8964" width="47.28515625" style="1" customWidth="1"/>
    <col min="8965" max="8970" width="0" style="1" hidden="1" customWidth="1"/>
    <col min="8971" max="8971" width="34.28515625" style="1" customWidth="1"/>
    <col min="8972" max="8972" width="36.28515625" style="1" customWidth="1"/>
    <col min="8973" max="8973" width="23.7109375" style="1" customWidth="1"/>
    <col min="8974" max="8974" width="36.7109375" style="1" customWidth="1"/>
    <col min="8975" max="9218" width="10.7109375" style="1"/>
    <col min="9219" max="9219" width="27.7109375" style="1" customWidth="1"/>
    <col min="9220" max="9220" width="47.28515625" style="1" customWidth="1"/>
    <col min="9221" max="9226" width="0" style="1" hidden="1" customWidth="1"/>
    <col min="9227" max="9227" width="34.28515625" style="1" customWidth="1"/>
    <col min="9228" max="9228" width="36.28515625" style="1" customWidth="1"/>
    <col min="9229" max="9229" width="23.7109375" style="1" customWidth="1"/>
    <col min="9230" max="9230" width="36.7109375" style="1" customWidth="1"/>
    <col min="9231" max="9474" width="10.7109375" style="1"/>
    <col min="9475" max="9475" width="27.7109375" style="1" customWidth="1"/>
    <col min="9476" max="9476" width="47.28515625" style="1" customWidth="1"/>
    <col min="9477" max="9482" width="0" style="1" hidden="1" customWidth="1"/>
    <col min="9483" max="9483" width="34.28515625" style="1" customWidth="1"/>
    <col min="9484" max="9484" width="36.28515625" style="1" customWidth="1"/>
    <col min="9485" max="9485" width="23.7109375" style="1" customWidth="1"/>
    <col min="9486" max="9486" width="36.7109375" style="1" customWidth="1"/>
    <col min="9487" max="9730" width="10.7109375" style="1"/>
    <col min="9731" max="9731" width="27.7109375" style="1" customWidth="1"/>
    <col min="9732" max="9732" width="47.28515625" style="1" customWidth="1"/>
    <col min="9733" max="9738" width="0" style="1" hidden="1" customWidth="1"/>
    <col min="9739" max="9739" width="34.28515625" style="1" customWidth="1"/>
    <col min="9740" max="9740" width="36.28515625" style="1" customWidth="1"/>
    <col min="9741" max="9741" width="23.7109375" style="1" customWidth="1"/>
    <col min="9742" max="9742" width="36.7109375" style="1" customWidth="1"/>
    <col min="9743" max="9986" width="10.7109375" style="1"/>
    <col min="9987" max="9987" width="27.7109375" style="1" customWidth="1"/>
    <col min="9988" max="9988" width="47.28515625" style="1" customWidth="1"/>
    <col min="9989" max="9994" width="0" style="1" hidden="1" customWidth="1"/>
    <col min="9995" max="9995" width="34.28515625" style="1" customWidth="1"/>
    <col min="9996" max="9996" width="36.28515625" style="1" customWidth="1"/>
    <col min="9997" max="9997" width="23.7109375" style="1" customWidth="1"/>
    <col min="9998" max="9998" width="36.7109375" style="1" customWidth="1"/>
    <col min="9999" max="10242" width="10.7109375" style="1"/>
    <col min="10243" max="10243" width="27.7109375" style="1" customWidth="1"/>
    <col min="10244" max="10244" width="47.28515625" style="1" customWidth="1"/>
    <col min="10245" max="10250" width="0" style="1" hidden="1" customWidth="1"/>
    <col min="10251" max="10251" width="34.28515625" style="1" customWidth="1"/>
    <col min="10252" max="10252" width="36.28515625" style="1" customWidth="1"/>
    <col min="10253" max="10253" width="23.7109375" style="1" customWidth="1"/>
    <col min="10254" max="10254" width="36.7109375" style="1" customWidth="1"/>
    <col min="10255" max="10498" width="10.7109375" style="1"/>
    <col min="10499" max="10499" width="27.7109375" style="1" customWidth="1"/>
    <col min="10500" max="10500" width="47.28515625" style="1" customWidth="1"/>
    <col min="10501" max="10506" width="0" style="1" hidden="1" customWidth="1"/>
    <col min="10507" max="10507" width="34.28515625" style="1" customWidth="1"/>
    <col min="10508" max="10508" width="36.28515625" style="1" customWidth="1"/>
    <col min="10509" max="10509" width="23.7109375" style="1" customWidth="1"/>
    <col min="10510" max="10510" width="36.7109375" style="1" customWidth="1"/>
    <col min="10511" max="10754" width="10.7109375" style="1"/>
    <col min="10755" max="10755" width="27.7109375" style="1" customWidth="1"/>
    <col min="10756" max="10756" width="47.28515625" style="1" customWidth="1"/>
    <col min="10757" max="10762" width="0" style="1" hidden="1" customWidth="1"/>
    <col min="10763" max="10763" width="34.28515625" style="1" customWidth="1"/>
    <col min="10764" max="10764" width="36.28515625" style="1" customWidth="1"/>
    <col min="10765" max="10765" width="23.7109375" style="1" customWidth="1"/>
    <col min="10766" max="10766" width="36.7109375" style="1" customWidth="1"/>
    <col min="10767" max="11010" width="10.7109375" style="1"/>
    <col min="11011" max="11011" width="27.7109375" style="1" customWidth="1"/>
    <col min="11012" max="11012" width="47.28515625" style="1" customWidth="1"/>
    <col min="11013" max="11018" width="0" style="1" hidden="1" customWidth="1"/>
    <col min="11019" max="11019" width="34.28515625" style="1" customWidth="1"/>
    <col min="11020" max="11020" width="36.28515625" style="1" customWidth="1"/>
    <col min="11021" max="11021" width="23.7109375" style="1" customWidth="1"/>
    <col min="11022" max="11022" width="36.7109375" style="1" customWidth="1"/>
    <col min="11023" max="11266" width="10.7109375" style="1"/>
    <col min="11267" max="11267" width="27.7109375" style="1" customWidth="1"/>
    <col min="11268" max="11268" width="47.28515625" style="1" customWidth="1"/>
    <col min="11269" max="11274" width="0" style="1" hidden="1" customWidth="1"/>
    <col min="11275" max="11275" width="34.28515625" style="1" customWidth="1"/>
    <col min="11276" max="11276" width="36.28515625" style="1" customWidth="1"/>
    <col min="11277" max="11277" width="23.7109375" style="1" customWidth="1"/>
    <col min="11278" max="11278" width="36.7109375" style="1" customWidth="1"/>
    <col min="11279" max="11522" width="10.7109375" style="1"/>
    <col min="11523" max="11523" width="27.7109375" style="1" customWidth="1"/>
    <col min="11524" max="11524" width="47.28515625" style="1" customWidth="1"/>
    <col min="11525" max="11530" width="0" style="1" hidden="1" customWidth="1"/>
    <col min="11531" max="11531" width="34.28515625" style="1" customWidth="1"/>
    <col min="11532" max="11532" width="36.28515625" style="1" customWidth="1"/>
    <col min="11533" max="11533" width="23.7109375" style="1" customWidth="1"/>
    <col min="11534" max="11534" width="36.7109375" style="1" customWidth="1"/>
    <col min="11535" max="11778" width="10.7109375" style="1"/>
    <col min="11779" max="11779" width="27.7109375" style="1" customWidth="1"/>
    <col min="11780" max="11780" width="47.28515625" style="1" customWidth="1"/>
    <col min="11781" max="11786" width="0" style="1" hidden="1" customWidth="1"/>
    <col min="11787" max="11787" width="34.28515625" style="1" customWidth="1"/>
    <col min="11788" max="11788" width="36.28515625" style="1" customWidth="1"/>
    <col min="11789" max="11789" width="23.7109375" style="1" customWidth="1"/>
    <col min="11790" max="11790" width="36.7109375" style="1" customWidth="1"/>
    <col min="11791" max="12034" width="10.7109375" style="1"/>
    <col min="12035" max="12035" width="27.7109375" style="1" customWidth="1"/>
    <col min="12036" max="12036" width="47.28515625" style="1" customWidth="1"/>
    <col min="12037" max="12042" width="0" style="1" hidden="1" customWidth="1"/>
    <col min="12043" max="12043" width="34.28515625" style="1" customWidth="1"/>
    <col min="12044" max="12044" width="36.28515625" style="1" customWidth="1"/>
    <col min="12045" max="12045" width="23.7109375" style="1" customWidth="1"/>
    <col min="12046" max="12046" width="36.7109375" style="1" customWidth="1"/>
    <col min="12047" max="12290" width="10.7109375" style="1"/>
    <col min="12291" max="12291" width="27.7109375" style="1" customWidth="1"/>
    <col min="12292" max="12292" width="47.28515625" style="1" customWidth="1"/>
    <col min="12293" max="12298" width="0" style="1" hidden="1" customWidth="1"/>
    <col min="12299" max="12299" width="34.28515625" style="1" customWidth="1"/>
    <col min="12300" max="12300" width="36.28515625" style="1" customWidth="1"/>
    <col min="12301" max="12301" width="23.7109375" style="1" customWidth="1"/>
    <col min="12302" max="12302" width="36.7109375" style="1" customWidth="1"/>
    <col min="12303" max="12546" width="10.7109375" style="1"/>
    <col min="12547" max="12547" width="27.7109375" style="1" customWidth="1"/>
    <col min="12548" max="12548" width="47.28515625" style="1" customWidth="1"/>
    <col min="12549" max="12554" width="0" style="1" hidden="1" customWidth="1"/>
    <col min="12555" max="12555" width="34.28515625" style="1" customWidth="1"/>
    <col min="12556" max="12556" width="36.28515625" style="1" customWidth="1"/>
    <col min="12557" max="12557" width="23.7109375" style="1" customWidth="1"/>
    <col min="12558" max="12558" width="36.7109375" style="1" customWidth="1"/>
    <col min="12559" max="12802" width="10.7109375" style="1"/>
    <col min="12803" max="12803" width="27.7109375" style="1" customWidth="1"/>
    <col min="12804" max="12804" width="47.28515625" style="1" customWidth="1"/>
    <col min="12805" max="12810" width="0" style="1" hidden="1" customWidth="1"/>
    <col min="12811" max="12811" width="34.28515625" style="1" customWidth="1"/>
    <col min="12812" max="12812" width="36.28515625" style="1" customWidth="1"/>
    <col min="12813" max="12813" width="23.7109375" style="1" customWidth="1"/>
    <col min="12814" max="12814" width="36.7109375" style="1" customWidth="1"/>
    <col min="12815" max="13058" width="10.7109375" style="1"/>
    <col min="13059" max="13059" width="27.7109375" style="1" customWidth="1"/>
    <col min="13060" max="13060" width="47.28515625" style="1" customWidth="1"/>
    <col min="13061" max="13066" width="0" style="1" hidden="1" customWidth="1"/>
    <col min="13067" max="13067" width="34.28515625" style="1" customWidth="1"/>
    <col min="13068" max="13068" width="36.28515625" style="1" customWidth="1"/>
    <col min="13069" max="13069" width="23.7109375" style="1" customWidth="1"/>
    <col min="13070" max="13070" width="36.7109375" style="1" customWidth="1"/>
    <col min="13071" max="13314" width="10.7109375" style="1"/>
    <col min="13315" max="13315" width="27.7109375" style="1" customWidth="1"/>
    <col min="13316" max="13316" width="47.28515625" style="1" customWidth="1"/>
    <col min="13317" max="13322" width="0" style="1" hidden="1" customWidth="1"/>
    <col min="13323" max="13323" width="34.28515625" style="1" customWidth="1"/>
    <col min="13324" max="13324" width="36.28515625" style="1" customWidth="1"/>
    <col min="13325" max="13325" width="23.7109375" style="1" customWidth="1"/>
    <col min="13326" max="13326" width="36.7109375" style="1" customWidth="1"/>
    <col min="13327" max="13570" width="10.7109375" style="1"/>
    <col min="13571" max="13571" width="27.7109375" style="1" customWidth="1"/>
    <col min="13572" max="13572" width="47.28515625" style="1" customWidth="1"/>
    <col min="13573" max="13578" width="0" style="1" hidden="1" customWidth="1"/>
    <col min="13579" max="13579" width="34.28515625" style="1" customWidth="1"/>
    <col min="13580" max="13580" width="36.28515625" style="1" customWidth="1"/>
    <col min="13581" max="13581" width="23.7109375" style="1" customWidth="1"/>
    <col min="13582" max="13582" width="36.7109375" style="1" customWidth="1"/>
    <col min="13583" max="13826" width="10.7109375" style="1"/>
    <col min="13827" max="13827" width="27.7109375" style="1" customWidth="1"/>
    <col min="13828" max="13828" width="47.28515625" style="1" customWidth="1"/>
    <col min="13829" max="13834" width="0" style="1" hidden="1" customWidth="1"/>
    <col min="13835" max="13835" width="34.28515625" style="1" customWidth="1"/>
    <col min="13836" max="13836" width="36.28515625" style="1" customWidth="1"/>
    <col min="13837" max="13837" width="23.7109375" style="1" customWidth="1"/>
    <col min="13838" max="13838" width="36.7109375" style="1" customWidth="1"/>
    <col min="13839" max="14082" width="10.7109375" style="1"/>
    <col min="14083" max="14083" width="27.7109375" style="1" customWidth="1"/>
    <col min="14084" max="14084" width="47.28515625" style="1" customWidth="1"/>
    <col min="14085" max="14090" width="0" style="1" hidden="1" customWidth="1"/>
    <col min="14091" max="14091" width="34.28515625" style="1" customWidth="1"/>
    <col min="14092" max="14092" width="36.28515625" style="1" customWidth="1"/>
    <col min="14093" max="14093" width="23.7109375" style="1" customWidth="1"/>
    <col min="14094" max="14094" width="36.7109375" style="1" customWidth="1"/>
    <col min="14095" max="14338" width="10.7109375" style="1"/>
    <col min="14339" max="14339" width="27.7109375" style="1" customWidth="1"/>
    <col min="14340" max="14340" width="47.28515625" style="1" customWidth="1"/>
    <col min="14341" max="14346" width="0" style="1" hidden="1" customWidth="1"/>
    <col min="14347" max="14347" width="34.28515625" style="1" customWidth="1"/>
    <col min="14348" max="14348" width="36.28515625" style="1" customWidth="1"/>
    <col min="14349" max="14349" width="23.7109375" style="1" customWidth="1"/>
    <col min="14350" max="14350" width="36.7109375" style="1" customWidth="1"/>
    <col min="14351" max="14594" width="10.7109375" style="1"/>
    <col min="14595" max="14595" width="27.7109375" style="1" customWidth="1"/>
    <col min="14596" max="14596" width="47.28515625" style="1" customWidth="1"/>
    <col min="14597" max="14602" width="0" style="1" hidden="1" customWidth="1"/>
    <col min="14603" max="14603" width="34.28515625" style="1" customWidth="1"/>
    <col min="14604" max="14604" width="36.28515625" style="1" customWidth="1"/>
    <col min="14605" max="14605" width="23.7109375" style="1" customWidth="1"/>
    <col min="14606" max="14606" width="36.7109375" style="1" customWidth="1"/>
    <col min="14607" max="14850" width="10.7109375" style="1"/>
    <col min="14851" max="14851" width="27.7109375" style="1" customWidth="1"/>
    <col min="14852" max="14852" width="47.28515625" style="1" customWidth="1"/>
    <col min="14853" max="14858" width="0" style="1" hidden="1" customWidth="1"/>
    <col min="14859" max="14859" width="34.28515625" style="1" customWidth="1"/>
    <col min="14860" max="14860" width="36.28515625" style="1" customWidth="1"/>
    <col min="14861" max="14861" width="23.7109375" style="1" customWidth="1"/>
    <col min="14862" max="14862" width="36.7109375" style="1" customWidth="1"/>
    <col min="14863" max="15106" width="10.7109375" style="1"/>
    <col min="15107" max="15107" width="27.7109375" style="1" customWidth="1"/>
    <col min="15108" max="15108" width="47.28515625" style="1" customWidth="1"/>
    <col min="15109" max="15114" width="0" style="1" hidden="1" customWidth="1"/>
    <col min="15115" max="15115" width="34.28515625" style="1" customWidth="1"/>
    <col min="15116" max="15116" width="36.28515625" style="1" customWidth="1"/>
    <col min="15117" max="15117" width="23.7109375" style="1" customWidth="1"/>
    <col min="15118" max="15118" width="36.7109375" style="1" customWidth="1"/>
    <col min="15119" max="15362" width="10.7109375" style="1"/>
    <col min="15363" max="15363" width="27.7109375" style="1" customWidth="1"/>
    <col min="15364" max="15364" width="47.28515625" style="1" customWidth="1"/>
    <col min="15365" max="15370" width="0" style="1" hidden="1" customWidth="1"/>
    <col min="15371" max="15371" width="34.28515625" style="1" customWidth="1"/>
    <col min="15372" max="15372" width="36.28515625" style="1" customWidth="1"/>
    <col min="15373" max="15373" width="23.7109375" style="1" customWidth="1"/>
    <col min="15374" max="15374" width="36.7109375" style="1" customWidth="1"/>
    <col min="15375" max="15618" width="10.7109375" style="1"/>
    <col min="15619" max="15619" width="27.7109375" style="1" customWidth="1"/>
    <col min="15620" max="15620" width="47.28515625" style="1" customWidth="1"/>
    <col min="15621" max="15626" width="0" style="1" hidden="1" customWidth="1"/>
    <col min="15627" max="15627" width="34.28515625" style="1" customWidth="1"/>
    <col min="15628" max="15628" width="36.28515625" style="1" customWidth="1"/>
    <col min="15629" max="15629" width="23.7109375" style="1" customWidth="1"/>
    <col min="15630" max="15630" width="36.7109375" style="1" customWidth="1"/>
    <col min="15631" max="15874" width="10.7109375" style="1"/>
    <col min="15875" max="15875" width="27.7109375" style="1" customWidth="1"/>
    <col min="15876" max="15876" width="47.28515625" style="1" customWidth="1"/>
    <col min="15877" max="15882" width="0" style="1" hidden="1" customWidth="1"/>
    <col min="15883" max="15883" width="34.28515625" style="1" customWidth="1"/>
    <col min="15884" max="15884" width="36.28515625" style="1" customWidth="1"/>
    <col min="15885" max="15885" width="23.7109375" style="1" customWidth="1"/>
    <col min="15886" max="15886" width="36.7109375" style="1" customWidth="1"/>
    <col min="15887" max="16130" width="10.7109375" style="1"/>
    <col min="16131" max="16131" width="27.7109375" style="1" customWidth="1"/>
    <col min="16132" max="16132" width="47.28515625" style="1" customWidth="1"/>
    <col min="16133" max="16138" width="0" style="1" hidden="1" customWidth="1"/>
    <col min="16139" max="16139" width="34.28515625" style="1" customWidth="1"/>
    <col min="16140" max="16140" width="36.28515625" style="1" customWidth="1"/>
    <col min="16141" max="16141" width="23.7109375" style="1" customWidth="1"/>
    <col min="16142" max="16142" width="36.7109375" style="1" customWidth="1"/>
    <col min="16143" max="16384" width="10.7109375" style="1"/>
  </cols>
  <sheetData>
    <row r="1" spans="1:17" ht="27" customHeight="1" x14ac:dyDescent="0.25">
      <c r="A1" s="134"/>
      <c r="B1" s="134"/>
      <c r="C1" s="134"/>
      <c r="D1" s="134"/>
      <c r="E1" s="134"/>
      <c r="F1" s="134"/>
      <c r="G1" s="134"/>
      <c r="H1" s="134"/>
      <c r="I1" s="134"/>
      <c r="J1" s="134"/>
      <c r="K1" s="134"/>
      <c r="L1" s="134"/>
      <c r="M1" s="134"/>
      <c r="N1" s="134"/>
    </row>
    <row r="2" spans="1:17" ht="15" customHeight="1" x14ac:dyDescent="0.25">
      <c r="A2" s="51"/>
      <c r="B2" s="51"/>
      <c r="C2" s="51"/>
      <c r="D2" s="51"/>
      <c r="E2" s="51"/>
      <c r="F2" s="51"/>
      <c r="G2" s="51"/>
      <c r="H2" s="51"/>
      <c r="I2" s="51"/>
      <c r="J2" s="51"/>
      <c r="K2" s="51"/>
      <c r="L2" s="51"/>
      <c r="M2" s="51"/>
      <c r="N2" s="51"/>
    </row>
    <row r="3" spans="1:17" ht="15.75" customHeight="1" thickBot="1" x14ac:dyDescent="0.3">
      <c r="A3" s="52"/>
      <c r="B3" s="52"/>
      <c r="C3" s="52"/>
      <c r="D3" s="52"/>
      <c r="E3" s="52"/>
      <c r="F3" s="52"/>
      <c r="G3" s="52"/>
      <c r="H3" s="52"/>
      <c r="I3" s="52"/>
      <c r="J3" s="52"/>
      <c r="K3" s="52"/>
      <c r="L3" s="52"/>
      <c r="M3" s="52"/>
      <c r="N3" s="52"/>
    </row>
    <row r="4" spans="1:17" ht="30" x14ac:dyDescent="0.25">
      <c r="A4" s="60" t="s">
        <v>167</v>
      </c>
      <c r="B4" s="61" t="s">
        <v>168</v>
      </c>
      <c r="C4" s="62" t="s">
        <v>169</v>
      </c>
      <c r="D4" s="61" t="s">
        <v>170</v>
      </c>
      <c r="E4" s="61" t="s">
        <v>1915</v>
      </c>
      <c r="F4" s="61" t="s">
        <v>1916</v>
      </c>
      <c r="G4" s="61" t="s">
        <v>1917</v>
      </c>
      <c r="H4" s="61" t="s">
        <v>172</v>
      </c>
      <c r="I4" s="61" t="s">
        <v>173</v>
      </c>
      <c r="J4" s="61" t="s">
        <v>174</v>
      </c>
      <c r="K4" s="63" t="s">
        <v>175</v>
      </c>
      <c r="L4" s="141" t="s">
        <v>176</v>
      </c>
      <c r="M4" s="141" t="s">
        <v>177</v>
      </c>
      <c r="N4" s="60" t="s">
        <v>178</v>
      </c>
      <c r="O4" s="60" t="s">
        <v>179</v>
      </c>
      <c r="P4" s="92" t="s">
        <v>1287</v>
      </c>
    </row>
    <row r="5" spans="1:17" ht="90" customHeight="1" x14ac:dyDescent="0.25">
      <c r="A5" s="81" t="s">
        <v>180</v>
      </c>
      <c r="B5" s="65" t="s">
        <v>181</v>
      </c>
      <c r="C5" s="64" t="s">
        <v>182</v>
      </c>
      <c r="D5" s="66" t="s">
        <v>183</v>
      </c>
      <c r="E5" s="64">
        <v>500000</v>
      </c>
      <c r="F5" s="64">
        <v>5000000</v>
      </c>
      <c r="G5" s="64"/>
      <c r="H5" s="64" t="s">
        <v>184</v>
      </c>
      <c r="I5" s="64" t="s">
        <v>185</v>
      </c>
      <c r="J5" s="64" t="s">
        <v>186</v>
      </c>
      <c r="K5" s="64" t="s">
        <v>187</v>
      </c>
      <c r="L5" s="64" t="s">
        <v>188</v>
      </c>
      <c r="M5" s="64" t="s">
        <v>189</v>
      </c>
      <c r="N5" s="67" t="s">
        <v>106</v>
      </c>
      <c r="O5" s="68" t="s">
        <v>190</v>
      </c>
      <c r="P5" t="s">
        <v>1288</v>
      </c>
      <c r="Q5"/>
    </row>
    <row r="6" spans="1:17" ht="116.25" customHeight="1" x14ac:dyDescent="0.25">
      <c r="A6" s="81" t="s">
        <v>191</v>
      </c>
      <c r="B6" s="65" t="s">
        <v>192</v>
      </c>
      <c r="C6" s="64" t="s">
        <v>193</v>
      </c>
      <c r="D6" s="64" t="s">
        <v>194</v>
      </c>
      <c r="E6" s="64">
        <v>500000</v>
      </c>
      <c r="F6" s="85">
        <v>5000000</v>
      </c>
      <c r="G6" s="85"/>
      <c r="H6" s="86" t="s">
        <v>1289</v>
      </c>
      <c r="I6" s="64" t="s">
        <v>195</v>
      </c>
      <c r="J6" s="64" t="s">
        <v>196</v>
      </c>
      <c r="K6" s="64" t="s">
        <v>197</v>
      </c>
      <c r="L6" s="64" t="s">
        <v>198</v>
      </c>
      <c r="M6" s="64" t="s">
        <v>1290</v>
      </c>
      <c r="N6" s="67" t="s">
        <v>106</v>
      </c>
      <c r="O6" s="68" t="s">
        <v>190</v>
      </c>
    </row>
    <row r="7" spans="1:17" ht="93" customHeight="1" x14ac:dyDescent="0.25">
      <c r="A7" s="81" t="s">
        <v>199</v>
      </c>
      <c r="B7" s="65" t="s">
        <v>200</v>
      </c>
      <c r="C7" s="64" t="s">
        <v>201</v>
      </c>
      <c r="D7" s="64" t="s">
        <v>202</v>
      </c>
      <c r="E7" s="69"/>
      <c r="F7" s="69"/>
      <c r="G7" s="69"/>
      <c r="H7" s="69" t="s">
        <v>203</v>
      </c>
      <c r="I7" s="69" t="s">
        <v>204</v>
      </c>
      <c r="J7" s="64" t="s">
        <v>205</v>
      </c>
      <c r="K7" s="70" t="s">
        <v>206</v>
      </c>
      <c r="L7" s="64" t="s">
        <v>207</v>
      </c>
      <c r="M7" s="64" t="s">
        <v>208</v>
      </c>
      <c r="N7" s="67" t="s">
        <v>106</v>
      </c>
      <c r="O7" s="68" t="s">
        <v>190</v>
      </c>
      <c r="P7" s="86" t="s">
        <v>1291</v>
      </c>
    </row>
    <row r="8" spans="1:17" ht="90" hidden="1" x14ac:dyDescent="0.25">
      <c r="A8" s="64" t="s">
        <v>209</v>
      </c>
      <c r="B8" s="65" t="s">
        <v>210</v>
      </c>
      <c r="C8" s="64" t="s">
        <v>211</v>
      </c>
      <c r="D8" s="64" t="s">
        <v>212</v>
      </c>
      <c r="E8" s="64" t="s">
        <v>1918</v>
      </c>
      <c r="F8" s="64" t="s">
        <v>1919</v>
      </c>
      <c r="G8" s="64"/>
      <c r="H8" s="64" t="s">
        <v>203</v>
      </c>
      <c r="I8" s="64" t="s">
        <v>213</v>
      </c>
      <c r="J8" s="64" t="s">
        <v>214</v>
      </c>
      <c r="K8" s="64" t="s">
        <v>215</v>
      </c>
      <c r="L8" s="64" t="s">
        <v>216</v>
      </c>
      <c r="M8" s="64" t="s">
        <v>217</v>
      </c>
      <c r="N8" s="67" t="s">
        <v>218</v>
      </c>
      <c r="O8" s="71"/>
    </row>
    <row r="9" spans="1:17" ht="118.5" hidden="1" customHeight="1" x14ac:dyDescent="0.25">
      <c r="A9" s="64" t="s">
        <v>219</v>
      </c>
      <c r="B9" s="65" t="s">
        <v>220</v>
      </c>
      <c r="C9" s="64" t="s">
        <v>221</v>
      </c>
      <c r="D9" s="69" t="s">
        <v>212</v>
      </c>
      <c r="E9" s="64" t="s">
        <v>1920</v>
      </c>
      <c r="F9" s="64" t="s">
        <v>1921</v>
      </c>
      <c r="G9" s="64"/>
      <c r="H9" s="69"/>
      <c r="I9" s="64" t="s">
        <v>195</v>
      </c>
      <c r="J9" s="64" t="s">
        <v>222</v>
      </c>
      <c r="K9" s="64" t="s">
        <v>223</v>
      </c>
      <c r="L9" s="64" t="s">
        <v>224</v>
      </c>
      <c r="M9" s="64" t="s">
        <v>225</v>
      </c>
      <c r="N9" s="67" t="s">
        <v>218</v>
      </c>
      <c r="O9" s="71"/>
    </row>
    <row r="10" spans="1:17" ht="90" hidden="1" x14ac:dyDescent="0.25">
      <c r="A10" s="64" t="s">
        <v>226</v>
      </c>
      <c r="B10" s="72" t="s">
        <v>227</v>
      </c>
      <c r="C10" s="66" t="s">
        <v>228</v>
      </c>
      <c r="D10" s="73" t="s">
        <v>229</v>
      </c>
      <c r="E10" s="73" t="s">
        <v>1922</v>
      </c>
      <c r="F10" s="73" t="s">
        <v>1923</v>
      </c>
      <c r="G10" s="73"/>
      <c r="H10" s="66" t="s">
        <v>230</v>
      </c>
      <c r="I10" s="66" t="s">
        <v>231</v>
      </c>
      <c r="J10" s="66" t="s">
        <v>232</v>
      </c>
      <c r="K10" s="66" t="s">
        <v>233</v>
      </c>
      <c r="L10" s="66" t="s">
        <v>234</v>
      </c>
      <c r="M10" s="66" t="s">
        <v>235</v>
      </c>
      <c r="N10" s="67" t="s">
        <v>218</v>
      </c>
      <c r="O10" s="71"/>
    </row>
    <row r="11" spans="1:17" ht="75" hidden="1" x14ac:dyDescent="0.25">
      <c r="A11" s="64" t="s">
        <v>236</v>
      </c>
      <c r="B11" s="65" t="s">
        <v>237</v>
      </c>
      <c r="C11" s="64" t="s">
        <v>238</v>
      </c>
      <c r="D11" s="64" t="s">
        <v>212</v>
      </c>
      <c r="E11" s="64"/>
      <c r="F11" s="64"/>
      <c r="G11" s="64"/>
      <c r="H11" s="64" t="s">
        <v>239</v>
      </c>
      <c r="I11" s="64" t="s">
        <v>240</v>
      </c>
      <c r="J11" s="64" t="s">
        <v>241</v>
      </c>
      <c r="K11" s="64" t="s">
        <v>242</v>
      </c>
      <c r="L11" s="64" t="s">
        <v>243</v>
      </c>
      <c r="M11" s="64" t="s">
        <v>244</v>
      </c>
      <c r="N11" s="67" t="s">
        <v>218</v>
      </c>
      <c r="O11" s="71"/>
    </row>
    <row r="12" spans="1:17" ht="75" x14ac:dyDescent="0.25">
      <c r="A12" s="82" t="s">
        <v>245</v>
      </c>
      <c r="B12" s="72" t="s">
        <v>246</v>
      </c>
      <c r="C12" s="66" t="s">
        <v>247</v>
      </c>
      <c r="D12" s="66" t="s">
        <v>248</v>
      </c>
      <c r="E12" s="64">
        <v>500000</v>
      </c>
      <c r="F12" s="64">
        <v>3000000</v>
      </c>
      <c r="G12" s="73"/>
      <c r="H12" s="73" t="s">
        <v>249</v>
      </c>
      <c r="I12" s="73" t="s">
        <v>250</v>
      </c>
      <c r="J12" s="66" t="s">
        <v>251</v>
      </c>
      <c r="K12" s="66" t="s">
        <v>252</v>
      </c>
      <c r="L12" s="66" t="s">
        <v>253</v>
      </c>
      <c r="M12" s="66" t="s">
        <v>254</v>
      </c>
      <c r="N12" s="67" t="s">
        <v>106</v>
      </c>
      <c r="O12" s="68" t="s">
        <v>190</v>
      </c>
      <c r="P12" s="86" t="s">
        <v>1292</v>
      </c>
    </row>
    <row r="13" spans="1:17" ht="60" x14ac:dyDescent="0.25">
      <c r="A13" s="81" t="s">
        <v>255</v>
      </c>
      <c r="B13" s="65" t="s">
        <v>256</v>
      </c>
      <c r="C13" s="64" t="s">
        <v>257</v>
      </c>
      <c r="D13" s="64" t="s">
        <v>258</v>
      </c>
      <c r="E13" s="69">
        <v>1500000</v>
      </c>
      <c r="F13" s="64">
        <v>4000000</v>
      </c>
      <c r="G13" s="64"/>
      <c r="H13" s="64" t="s">
        <v>203</v>
      </c>
      <c r="I13" s="86" t="s">
        <v>1293</v>
      </c>
      <c r="J13" s="64" t="s">
        <v>259</v>
      </c>
      <c r="K13" s="64" t="s">
        <v>260</v>
      </c>
      <c r="L13" s="64" t="s">
        <v>261</v>
      </c>
      <c r="M13" s="64" t="s">
        <v>262</v>
      </c>
      <c r="N13" s="67" t="s">
        <v>106</v>
      </c>
      <c r="O13" s="68" t="s">
        <v>190</v>
      </c>
    </row>
    <row r="14" spans="1:17" ht="66" customHeight="1" x14ac:dyDescent="0.25">
      <c r="A14" s="81" t="s">
        <v>263</v>
      </c>
      <c r="B14" s="65" t="s">
        <v>264</v>
      </c>
      <c r="C14" s="64" t="s">
        <v>265</v>
      </c>
      <c r="D14" s="64" t="s">
        <v>266</v>
      </c>
      <c r="E14" s="69">
        <v>2000000</v>
      </c>
      <c r="F14" s="64">
        <v>4000000</v>
      </c>
      <c r="G14" s="64"/>
      <c r="H14" s="64" t="s">
        <v>267</v>
      </c>
      <c r="I14" s="64" t="s">
        <v>195</v>
      </c>
      <c r="J14" s="64" t="s">
        <v>268</v>
      </c>
      <c r="K14" s="64" t="s">
        <v>269</v>
      </c>
      <c r="L14" s="64" t="s">
        <v>270</v>
      </c>
      <c r="M14" s="64" t="s">
        <v>271</v>
      </c>
      <c r="N14" s="67" t="s">
        <v>106</v>
      </c>
      <c r="O14" s="68" t="s">
        <v>190</v>
      </c>
      <c r="P14" s="88" t="s">
        <v>1294</v>
      </c>
    </row>
    <row r="15" spans="1:17" ht="78" customHeight="1" x14ac:dyDescent="0.25">
      <c r="A15" s="81" t="s">
        <v>272</v>
      </c>
      <c r="B15" s="65" t="s">
        <v>273</v>
      </c>
      <c r="C15" s="64" t="s">
        <v>274</v>
      </c>
      <c r="D15" s="86" t="s">
        <v>1295</v>
      </c>
      <c r="E15" s="132"/>
      <c r="F15" s="132"/>
      <c r="G15" s="132"/>
      <c r="H15" t="s">
        <v>203</v>
      </c>
      <c r="I15" t="s">
        <v>239</v>
      </c>
      <c r="J15" s="64"/>
      <c r="K15" s="64"/>
      <c r="L15" s="86" t="s">
        <v>1296</v>
      </c>
      <c r="M15" s="64"/>
      <c r="N15" s="67" t="s">
        <v>106</v>
      </c>
      <c r="O15" s="68" t="s">
        <v>190</v>
      </c>
    </row>
    <row r="16" spans="1:17" ht="105" x14ac:dyDescent="0.25">
      <c r="A16" s="81" t="s">
        <v>275</v>
      </c>
      <c r="B16" s="65" t="s">
        <v>276</v>
      </c>
      <c r="C16" s="64" t="s">
        <v>277</v>
      </c>
      <c r="D16" s="66" t="s">
        <v>278</v>
      </c>
      <c r="E16" s="64">
        <v>500000</v>
      </c>
      <c r="F16" s="69">
        <v>10000000</v>
      </c>
      <c r="G16" s="69"/>
      <c r="H16" s="69" t="s">
        <v>203</v>
      </c>
      <c r="I16" s="69" t="s">
        <v>279</v>
      </c>
      <c r="J16" s="64" t="s">
        <v>280</v>
      </c>
      <c r="K16" s="64" t="s">
        <v>281</v>
      </c>
      <c r="L16" s="64" t="s">
        <v>282</v>
      </c>
      <c r="M16" s="64" t="s">
        <v>283</v>
      </c>
      <c r="N16" s="67" t="s">
        <v>106</v>
      </c>
      <c r="O16" s="68" t="s">
        <v>190</v>
      </c>
      <c r="P16" s="88" t="s">
        <v>1297</v>
      </c>
    </row>
    <row r="17" spans="1:16" ht="75" hidden="1" x14ac:dyDescent="0.25">
      <c r="A17" s="64" t="s">
        <v>284</v>
      </c>
      <c r="B17" s="65" t="s">
        <v>285</v>
      </c>
      <c r="C17" s="64" t="s">
        <v>286</v>
      </c>
      <c r="D17" s="64" t="s">
        <v>287</v>
      </c>
      <c r="E17" s="64" t="s">
        <v>1924</v>
      </c>
      <c r="F17" s="64" t="s">
        <v>1925</v>
      </c>
      <c r="G17" s="64"/>
      <c r="H17" s="64" t="s">
        <v>288</v>
      </c>
      <c r="I17" s="69" t="s">
        <v>195</v>
      </c>
      <c r="J17" s="64" t="s">
        <v>289</v>
      </c>
      <c r="K17" s="64" t="s">
        <v>290</v>
      </c>
      <c r="L17" s="64" t="s">
        <v>291</v>
      </c>
      <c r="M17" s="64" t="s">
        <v>292</v>
      </c>
      <c r="N17" s="67" t="s">
        <v>218</v>
      </c>
      <c r="O17" s="71"/>
    </row>
    <row r="18" spans="1:16" ht="60" x14ac:dyDescent="0.25">
      <c r="A18" s="83" t="s">
        <v>293</v>
      </c>
      <c r="B18" s="72" t="s">
        <v>294</v>
      </c>
      <c r="C18" s="66" t="s">
        <v>295</v>
      </c>
      <c r="D18" s="73" t="s">
        <v>296</v>
      </c>
      <c r="E18" s="74">
        <v>0</v>
      </c>
      <c r="F18" s="74">
        <v>150000</v>
      </c>
      <c r="G18" s="74" t="s">
        <v>1929</v>
      </c>
      <c r="H18" s="73" t="s">
        <v>297</v>
      </c>
      <c r="I18" s="73" t="s">
        <v>195</v>
      </c>
      <c r="J18" s="75" t="s">
        <v>298</v>
      </c>
      <c r="K18" s="76" t="s">
        <v>299</v>
      </c>
      <c r="L18" s="66" t="s">
        <v>300</v>
      </c>
      <c r="M18" s="73"/>
      <c r="N18" s="67" t="s">
        <v>106</v>
      </c>
      <c r="O18" s="68" t="s">
        <v>190</v>
      </c>
    </row>
    <row r="19" spans="1:16" ht="51.75" x14ac:dyDescent="0.25">
      <c r="A19" s="81" t="s">
        <v>301</v>
      </c>
      <c r="B19" s="65" t="s">
        <v>302</v>
      </c>
      <c r="C19" s="77" t="s">
        <v>303</v>
      </c>
      <c r="D19" s="64" t="s">
        <v>304</v>
      </c>
      <c r="E19" s="64"/>
      <c r="F19" s="64"/>
      <c r="G19" s="64"/>
      <c r="H19" s="64" t="s">
        <v>203</v>
      </c>
      <c r="I19" s="64" t="s">
        <v>195</v>
      </c>
      <c r="J19" s="64" t="s">
        <v>305</v>
      </c>
      <c r="K19" s="64" t="s">
        <v>306</v>
      </c>
      <c r="L19" s="64" t="s">
        <v>307</v>
      </c>
      <c r="M19" s="64" t="s">
        <v>308</v>
      </c>
      <c r="N19" s="67" t="s">
        <v>106</v>
      </c>
      <c r="O19" s="68" t="s">
        <v>190</v>
      </c>
    </row>
    <row r="20" spans="1:16" ht="84.75" hidden="1" customHeight="1" x14ac:dyDescent="0.25">
      <c r="A20" s="64" t="s">
        <v>309</v>
      </c>
      <c r="B20" s="65" t="s">
        <v>310</v>
      </c>
      <c r="C20" s="64" t="s">
        <v>311</v>
      </c>
      <c r="D20" s="64" t="s">
        <v>312</v>
      </c>
      <c r="E20" s="64"/>
      <c r="F20" s="64"/>
      <c r="G20" s="64"/>
      <c r="H20" s="64" t="s">
        <v>203</v>
      </c>
      <c r="I20" s="64" t="s">
        <v>313</v>
      </c>
      <c r="J20" s="64" t="s">
        <v>314</v>
      </c>
      <c r="K20" s="64" t="s">
        <v>315</v>
      </c>
      <c r="L20" s="64" t="s">
        <v>316</v>
      </c>
      <c r="M20" s="64" t="s">
        <v>317</v>
      </c>
      <c r="N20" s="67" t="s">
        <v>218</v>
      </c>
      <c r="O20" s="71"/>
    </row>
    <row r="21" spans="1:16" ht="95.25" customHeight="1" x14ac:dyDescent="0.25">
      <c r="A21" s="81" t="s">
        <v>318</v>
      </c>
      <c r="B21" s="65" t="s">
        <v>319</v>
      </c>
      <c r="C21" s="64" t="s">
        <v>320</v>
      </c>
      <c r="D21" s="64" t="s">
        <v>321</v>
      </c>
      <c r="E21" s="64"/>
      <c r="F21" s="64"/>
      <c r="G21" s="64"/>
      <c r="H21" s="64" t="s">
        <v>203</v>
      </c>
      <c r="I21" s="64" t="s">
        <v>322</v>
      </c>
      <c r="J21" s="64" t="s">
        <v>323</v>
      </c>
      <c r="K21" s="64" t="s">
        <v>324</v>
      </c>
      <c r="L21" s="64" t="s">
        <v>325</v>
      </c>
      <c r="M21" s="64" t="s">
        <v>326</v>
      </c>
      <c r="N21" s="67" t="s">
        <v>106</v>
      </c>
      <c r="O21" s="68" t="s">
        <v>190</v>
      </c>
    </row>
    <row r="22" spans="1:16" ht="136.5" customHeight="1" x14ac:dyDescent="0.25">
      <c r="A22" s="81" t="s">
        <v>327</v>
      </c>
      <c r="B22" s="65" t="s">
        <v>328</v>
      </c>
      <c r="C22" s="64" t="s">
        <v>329</v>
      </c>
      <c r="D22" s="64" t="s">
        <v>330</v>
      </c>
      <c r="E22" s="64"/>
      <c r="F22" s="64"/>
      <c r="G22" s="64"/>
      <c r="H22" s="64" t="s">
        <v>267</v>
      </c>
      <c r="I22" s="64" t="s">
        <v>331</v>
      </c>
      <c r="J22" s="64" t="s">
        <v>332</v>
      </c>
      <c r="K22" s="64" t="s">
        <v>333</v>
      </c>
      <c r="L22" s="64" t="s">
        <v>334</v>
      </c>
      <c r="M22" s="64" t="s">
        <v>335</v>
      </c>
      <c r="N22" s="67" t="s">
        <v>106</v>
      </c>
      <c r="O22" s="68" t="s">
        <v>190</v>
      </c>
    </row>
    <row r="23" spans="1:16" ht="84.75" customHeight="1" x14ac:dyDescent="0.25">
      <c r="A23" s="81" t="s">
        <v>336</v>
      </c>
      <c r="B23" s="65" t="s">
        <v>337</v>
      </c>
      <c r="C23" s="64" t="s">
        <v>338</v>
      </c>
      <c r="D23" s="64" t="s">
        <v>339</v>
      </c>
      <c r="E23" s="64">
        <v>10000000</v>
      </c>
      <c r="F23" s="64">
        <v>20000000</v>
      </c>
      <c r="G23" s="64"/>
      <c r="H23" s="64" t="s">
        <v>340</v>
      </c>
      <c r="I23" s="64" t="s">
        <v>341</v>
      </c>
      <c r="J23" s="64" t="s">
        <v>342</v>
      </c>
      <c r="K23" s="64" t="s">
        <v>343</v>
      </c>
      <c r="L23" s="64" t="s">
        <v>344</v>
      </c>
      <c r="M23" s="64" t="s">
        <v>345</v>
      </c>
      <c r="N23" s="67" t="s">
        <v>106</v>
      </c>
      <c r="O23" s="68" t="s">
        <v>190</v>
      </c>
    </row>
    <row r="24" spans="1:16" ht="60" x14ac:dyDescent="0.25">
      <c r="A24" s="81" t="s">
        <v>346</v>
      </c>
      <c r="B24" s="65" t="s">
        <v>337</v>
      </c>
      <c r="C24" s="66" t="s">
        <v>338</v>
      </c>
      <c r="D24" s="64" t="s">
        <v>339</v>
      </c>
      <c r="E24" s="64">
        <v>10000000</v>
      </c>
      <c r="F24" s="64">
        <v>20000000</v>
      </c>
      <c r="G24" s="64"/>
      <c r="H24" s="64" t="s">
        <v>347</v>
      </c>
      <c r="I24" s="64" t="s">
        <v>341</v>
      </c>
      <c r="J24" s="64" t="s">
        <v>342</v>
      </c>
      <c r="K24" s="70" t="s">
        <v>348</v>
      </c>
      <c r="L24" s="64" t="s">
        <v>344</v>
      </c>
      <c r="M24" s="78"/>
      <c r="N24" s="67" t="s">
        <v>106</v>
      </c>
      <c r="O24" s="68" t="s">
        <v>190</v>
      </c>
    </row>
    <row r="25" spans="1:16" ht="105" customHeight="1" x14ac:dyDescent="0.25">
      <c r="A25" s="81" t="s">
        <v>349</v>
      </c>
      <c r="B25" s="72" t="s">
        <v>350</v>
      </c>
      <c r="C25" s="66" t="s">
        <v>351</v>
      </c>
      <c r="D25" s="66" t="s">
        <v>352</v>
      </c>
      <c r="E25" s="73"/>
      <c r="F25" s="73"/>
      <c r="G25" s="73"/>
      <c r="H25" s="73" t="s">
        <v>353</v>
      </c>
      <c r="I25" s="73" t="s">
        <v>250</v>
      </c>
      <c r="J25" s="66" t="s">
        <v>354</v>
      </c>
      <c r="K25" s="64" t="s">
        <v>355</v>
      </c>
      <c r="L25" s="73"/>
      <c r="M25" s="73" t="s">
        <v>356</v>
      </c>
      <c r="N25" s="67" t="s">
        <v>106</v>
      </c>
      <c r="O25" s="68" t="s">
        <v>190</v>
      </c>
      <c r="P25" s="86" t="s">
        <v>1298</v>
      </c>
    </row>
    <row r="26" spans="1:16" ht="112.5" customHeight="1" x14ac:dyDescent="0.25">
      <c r="A26" s="81" t="s">
        <v>357</v>
      </c>
      <c r="B26" s="65" t="s">
        <v>358</v>
      </c>
      <c r="C26" s="64" t="s">
        <v>359</v>
      </c>
      <c r="D26" s="64" t="s">
        <v>360</v>
      </c>
      <c r="E26" s="64"/>
      <c r="F26" s="64"/>
      <c r="G26" s="64"/>
      <c r="H26" s="64"/>
      <c r="I26" s="64" t="s">
        <v>185</v>
      </c>
      <c r="J26" s="64" t="s">
        <v>361</v>
      </c>
      <c r="K26" s="64" t="s">
        <v>362</v>
      </c>
      <c r="L26" s="64" t="s">
        <v>363</v>
      </c>
      <c r="M26" s="64" t="s">
        <v>364</v>
      </c>
      <c r="N26" s="67" t="s">
        <v>106</v>
      </c>
      <c r="O26" s="68" t="s">
        <v>190</v>
      </c>
      <c r="P26" t="s">
        <v>1299</v>
      </c>
    </row>
    <row r="27" spans="1:16" ht="81" customHeight="1" x14ac:dyDescent="0.25">
      <c r="A27" s="83" t="s">
        <v>365</v>
      </c>
      <c r="B27" s="72" t="s">
        <v>366</v>
      </c>
      <c r="C27" s="66" t="s">
        <v>367</v>
      </c>
      <c r="D27" s="73" t="s">
        <v>321</v>
      </c>
      <c r="E27" s="85">
        <v>5000000</v>
      </c>
      <c r="F27" s="64">
        <v>100000000</v>
      </c>
      <c r="G27" s="74"/>
      <c r="H27" s="73" t="s">
        <v>368</v>
      </c>
      <c r="I27" s="73" t="s">
        <v>195</v>
      </c>
      <c r="J27" s="75" t="s">
        <v>369</v>
      </c>
      <c r="K27" s="76" t="s">
        <v>370</v>
      </c>
      <c r="L27" s="66" t="s">
        <v>371</v>
      </c>
      <c r="M27" s="73"/>
      <c r="N27" s="67" t="s">
        <v>106</v>
      </c>
      <c r="O27" s="68" t="s">
        <v>190</v>
      </c>
      <c r="P27" s="93"/>
    </row>
    <row r="28" spans="1:16" ht="82.5" customHeight="1" x14ac:dyDescent="0.25">
      <c r="A28" s="81" t="s">
        <v>372</v>
      </c>
      <c r="B28" s="72" t="s">
        <v>373</v>
      </c>
      <c r="C28" s="77"/>
      <c r="D28" s="66" t="s">
        <v>374</v>
      </c>
      <c r="E28" s="66">
        <v>0</v>
      </c>
      <c r="F28" s="66">
        <v>3000000</v>
      </c>
      <c r="G28" s="66"/>
      <c r="H28" s="66" t="s">
        <v>203</v>
      </c>
      <c r="I28" s="66" t="s">
        <v>195</v>
      </c>
      <c r="J28" s="66" t="s">
        <v>375</v>
      </c>
      <c r="K28" s="66" t="s">
        <v>376</v>
      </c>
      <c r="L28" s="66" t="s">
        <v>377</v>
      </c>
      <c r="M28" s="66" t="s">
        <v>378</v>
      </c>
      <c r="N28" s="67" t="s">
        <v>106</v>
      </c>
      <c r="O28" s="68" t="s">
        <v>190</v>
      </c>
      <c r="P28" t="s">
        <v>1300</v>
      </c>
    </row>
    <row r="29" spans="1:16" ht="82.5" hidden="1" customHeight="1" x14ac:dyDescent="0.25">
      <c r="A29" s="64" t="s">
        <v>379</v>
      </c>
      <c r="B29" s="72" t="s">
        <v>380</v>
      </c>
      <c r="C29" s="66" t="s">
        <v>381</v>
      </c>
      <c r="D29" s="73" t="s">
        <v>382</v>
      </c>
      <c r="E29" s="66" t="s">
        <v>1926</v>
      </c>
      <c r="F29" s="66" t="s">
        <v>1927</v>
      </c>
      <c r="G29" s="66"/>
      <c r="H29" s="73" t="s">
        <v>383</v>
      </c>
      <c r="I29" s="66" t="s">
        <v>384</v>
      </c>
      <c r="J29" s="66" t="s">
        <v>385</v>
      </c>
      <c r="K29" s="66" t="s">
        <v>386</v>
      </c>
      <c r="L29" s="66" t="s">
        <v>387</v>
      </c>
      <c r="M29" s="66" t="s">
        <v>388</v>
      </c>
      <c r="N29" s="67" t="s">
        <v>218</v>
      </c>
      <c r="O29" s="71"/>
    </row>
    <row r="30" spans="1:16" ht="112.5" customHeight="1" x14ac:dyDescent="0.25">
      <c r="A30" s="81" t="s">
        <v>389</v>
      </c>
      <c r="B30" s="72" t="s">
        <v>390</v>
      </c>
      <c r="C30" s="66" t="s">
        <v>391</v>
      </c>
      <c r="D30" s="66" t="s">
        <v>392</v>
      </c>
      <c r="E30" s="66"/>
      <c r="F30" s="66"/>
      <c r="G30" s="66"/>
      <c r="H30" s="66" t="s">
        <v>393</v>
      </c>
      <c r="I30" s="66" t="s">
        <v>394</v>
      </c>
      <c r="J30" s="66" t="s">
        <v>395</v>
      </c>
      <c r="K30" s="79" t="s">
        <v>396</v>
      </c>
      <c r="L30" s="79" t="s">
        <v>397</v>
      </c>
      <c r="M30" s="66" t="s">
        <v>398</v>
      </c>
      <c r="N30" s="67" t="s">
        <v>106</v>
      </c>
      <c r="O30" s="68" t="s">
        <v>190</v>
      </c>
    </row>
    <row r="31" spans="1:16" ht="81" customHeight="1" x14ac:dyDescent="0.25">
      <c r="A31" s="83" t="s">
        <v>399</v>
      </c>
      <c r="B31" s="72" t="s">
        <v>400</v>
      </c>
      <c r="C31" s="66" t="s">
        <v>401</v>
      </c>
      <c r="D31" s="73" t="s">
        <v>321</v>
      </c>
      <c r="E31" s="73"/>
      <c r="F31" s="73"/>
      <c r="G31" s="73"/>
      <c r="H31" s="73" t="s">
        <v>203</v>
      </c>
      <c r="I31" s="73" t="s">
        <v>402</v>
      </c>
      <c r="J31" s="66" t="s">
        <v>403</v>
      </c>
      <c r="K31" s="66" t="s">
        <v>404</v>
      </c>
      <c r="L31" s="66" t="s">
        <v>405</v>
      </c>
      <c r="M31" s="73" t="s">
        <v>406</v>
      </c>
      <c r="N31" s="67" t="s">
        <v>106</v>
      </c>
      <c r="O31" s="68" t="s">
        <v>190</v>
      </c>
    </row>
    <row r="32" spans="1:16" ht="97.5" customHeight="1" x14ac:dyDescent="0.25">
      <c r="A32" s="81" t="s">
        <v>407</v>
      </c>
      <c r="B32" s="65" t="s">
        <v>408</v>
      </c>
      <c r="C32" s="64" t="s">
        <v>409</v>
      </c>
      <c r="D32" s="66" t="s">
        <v>410</v>
      </c>
      <c r="E32" s="69">
        <v>1000000</v>
      </c>
      <c r="F32" s="69">
        <v>10000000</v>
      </c>
      <c r="G32" s="69"/>
      <c r="H32" s="69" t="s">
        <v>383</v>
      </c>
      <c r="I32" s="69" t="s">
        <v>204</v>
      </c>
      <c r="J32" s="64" t="s">
        <v>411</v>
      </c>
      <c r="K32" s="64" t="s">
        <v>412</v>
      </c>
      <c r="L32" s="64" t="s">
        <v>413</v>
      </c>
      <c r="M32" s="64" t="s">
        <v>414</v>
      </c>
      <c r="N32" s="67" t="s">
        <v>106</v>
      </c>
      <c r="O32" s="68" t="s">
        <v>190</v>
      </c>
    </row>
    <row r="33" spans="1:17" ht="98.25" customHeight="1" x14ac:dyDescent="0.25">
      <c r="A33" s="81" t="s">
        <v>415</v>
      </c>
      <c r="B33" s="65" t="s">
        <v>416</v>
      </c>
      <c r="C33" s="64" t="s">
        <v>417</v>
      </c>
      <c r="D33" s="64" t="s">
        <v>418</v>
      </c>
      <c r="E33" s="64"/>
      <c r="F33" s="64"/>
      <c r="G33" s="64"/>
      <c r="H33" s="64" t="s">
        <v>419</v>
      </c>
      <c r="I33" s="64" t="s">
        <v>420</v>
      </c>
      <c r="J33" s="64" t="s">
        <v>421</v>
      </c>
      <c r="K33" s="64" t="s">
        <v>422</v>
      </c>
      <c r="L33" s="64" t="s">
        <v>423</v>
      </c>
      <c r="M33" s="64" t="s">
        <v>424</v>
      </c>
      <c r="N33" s="67" t="s">
        <v>106</v>
      </c>
      <c r="O33" s="68" t="s">
        <v>190</v>
      </c>
      <c r="P33" s="86" t="s">
        <v>1301</v>
      </c>
    </row>
    <row r="34" spans="1:17" ht="75" x14ac:dyDescent="0.25">
      <c r="A34" s="81" t="s">
        <v>425</v>
      </c>
      <c r="B34" s="65" t="s">
        <v>426</v>
      </c>
      <c r="C34" s="64" t="s">
        <v>427</v>
      </c>
      <c r="D34" s="64" t="s">
        <v>428</v>
      </c>
      <c r="E34" s="64"/>
      <c r="F34" s="64"/>
      <c r="G34" s="64"/>
      <c r="H34" s="64" t="s">
        <v>383</v>
      </c>
      <c r="I34" s="64" t="s">
        <v>204</v>
      </c>
      <c r="J34" s="64" t="s">
        <v>429</v>
      </c>
      <c r="K34" s="64" t="s">
        <v>430</v>
      </c>
      <c r="L34" s="64" t="s">
        <v>431</v>
      </c>
      <c r="M34" s="64" t="s">
        <v>432</v>
      </c>
      <c r="N34" s="67" t="s">
        <v>106</v>
      </c>
      <c r="O34" s="68" t="s">
        <v>190</v>
      </c>
      <c r="P34" s="94" t="s">
        <v>1302</v>
      </c>
    </row>
    <row r="35" spans="1:17" ht="90" x14ac:dyDescent="0.25">
      <c r="A35" s="81" t="s">
        <v>433</v>
      </c>
      <c r="B35" s="65" t="s">
        <v>434</v>
      </c>
      <c r="C35" s="64" t="s">
        <v>435</v>
      </c>
      <c r="D35" s="64" t="s">
        <v>436</v>
      </c>
      <c r="E35" s="64">
        <v>500000</v>
      </c>
      <c r="F35" s="64">
        <v>20000000</v>
      </c>
      <c r="G35" s="64"/>
      <c r="H35" s="64" t="s">
        <v>203</v>
      </c>
      <c r="I35" s="64" t="s">
        <v>437</v>
      </c>
      <c r="J35" s="64" t="s">
        <v>438</v>
      </c>
      <c r="K35" s="64" t="s">
        <v>439</v>
      </c>
      <c r="L35" s="64" t="s">
        <v>440</v>
      </c>
      <c r="M35" s="64" t="s">
        <v>441</v>
      </c>
      <c r="N35" s="67" t="s">
        <v>106</v>
      </c>
      <c r="O35" s="68" t="s">
        <v>190</v>
      </c>
      <c r="P35"/>
      <c r="Q35"/>
    </row>
  </sheetData>
  <autoFilter ref="A4:O35" xr:uid="{F3077620-7C94-4619-A07B-555050AC003A}">
    <sortState xmlns:xlrd2="http://schemas.microsoft.com/office/spreadsheetml/2017/richdata2" ref="A5:O37">
      <sortCondition ref="A4"/>
    </sortState>
  </autoFilter>
  <mergeCells count="1">
    <mergeCell ref="A1:N1"/>
  </mergeCells>
  <hyperlinks>
    <hyperlink ref="K5" r:id="rId1" xr:uid="{FB4ABE73-588F-4C5A-97C5-5F6AB40D65E1}"/>
    <hyperlink ref="K17" r:id="rId2" xr:uid="{76B76624-8234-492B-882B-C65AADCDE9D8}"/>
    <hyperlink ref="K10" r:id="rId3" xr:uid="{CA30F3AE-F336-40E3-B682-0E2DF2638DA8}"/>
    <hyperlink ref="K29" r:id="rId4" xr:uid="{D252F9AA-22C3-4AB3-8505-D1375D6A7036}"/>
    <hyperlink ref="K28" r:id="rId5" xr:uid="{13251155-3DF4-4D57-A56F-14C8F09F846C}"/>
    <hyperlink ref="L28" r:id="rId6" xr:uid="{72B9388D-1F75-4F38-94EC-D15ADA1FAF1F}"/>
    <hyperlink ref="K30" r:id="rId7" xr:uid="{7D0CFF3D-5753-4A84-A326-6387EA95B444}"/>
    <hyperlink ref="L30" r:id="rId8" display="michel.delempdes@omnescapital.com" xr:uid="{D4C57447-68C3-4B7D-B784-C4A5F5BFD0CA}"/>
    <hyperlink ref="K7" r:id="rId9" xr:uid="{2FE4F70B-847A-4E69-B20B-DA8F967ABAF7}"/>
    <hyperlink ref="L7" r:id="rId10" display="info@adventventures.com." xr:uid="{56C57506-A073-4672-A246-8213C162F6F5}"/>
    <hyperlink ref="K12" r:id="rId11" xr:uid="{241DFE75-89FE-412C-AAF5-E87628106737}"/>
    <hyperlink ref="L24" r:id="rId12" display="info@hpegrowthcapital.com" xr:uid="{ADFC0A9B-A5EE-438A-8E06-946DE9C8A34F}"/>
    <hyperlink ref="L16" r:id="rId13" display="cedric.koehler@creathor.de" xr:uid="{64DBBD92-2A9D-4433-9B97-99239F42945D}"/>
    <hyperlink ref="K16" r:id="rId14" xr:uid="{75EE8CF0-34BD-4484-A7D0-4122E6171D65}"/>
    <hyperlink ref="K32" r:id="rId15" xr:uid="{A135F4CA-73DE-45B8-A837-452445D91C8F}"/>
    <hyperlink ref="K22" r:id="rId16" xr:uid="{39579805-4CCE-4FCE-AE8D-F92D52C67E13}"/>
    <hyperlink ref="K8" r:id="rId17" xr:uid="{0C11926A-E042-422A-9D90-6FA8E51A357D}"/>
    <hyperlink ref="K35" r:id="rId18" xr:uid="{D27CCD3F-81A8-4938-A7CD-919108BF66DF}"/>
    <hyperlink ref="L35" r:id="rId19" display="london@wellington-partners.com " xr:uid="{9F5F0354-64B1-4BEE-ADE6-0A6868F65084}"/>
    <hyperlink ref="K14" r:id="rId20" xr:uid="{AD44AD35-2ACB-4E87-9076-205DA18EE970}"/>
    <hyperlink ref="K34" r:id="rId21" xr:uid="{D84F2021-D4CF-4E3E-B469-A32D7C05CD03}"/>
    <hyperlink ref="K26" r:id="rId22" xr:uid="{184C49C5-5D25-49AC-BF90-AF2AE2363F4F}"/>
    <hyperlink ref="K6" r:id="rId23" xr:uid="{C751C6A3-2A5C-4A81-BBC6-7B1F3F22317B}"/>
    <hyperlink ref="K11" r:id="rId24" xr:uid="{67C04A49-5076-471B-A587-59FA1BED6F3B}"/>
    <hyperlink ref="K19" r:id="rId25" xr:uid="{C40203E5-3A14-450A-A7DC-F5C035944D64}"/>
    <hyperlink ref="K20" r:id="rId26" xr:uid="{2D084826-A1BB-4A9F-8E26-1226B4244E55}"/>
    <hyperlink ref="K21" r:id="rId27" xr:uid="{8F2B2AE7-BE2C-4C29-9282-AE8804411307}"/>
    <hyperlink ref="L21" r:id="rId28" xr:uid="{952FE045-604C-4498-BE35-295E6315EE44}"/>
    <hyperlink ref="K23" r:id="rId29" xr:uid="{0B222E40-45C1-4D5B-B729-290CD122B5DA}"/>
    <hyperlink ref="L23" r:id="rId30" display="info@hpegrowthcapital.com" xr:uid="{EA1A5799-A719-4375-B0C9-3B3E3A00863A}"/>
    <hyperlink ref="K31" r:id="rId31" xr:uid="{EAE4ED3B-5F7C-4ED2-9C79-D4C7CE0E6CEA}"/>
    <hyperlink ref="L31" r:id="rId32" display="info@s-refit.de" xr:uid="{F2DC3EC8-6382-430E-96E2-425E58E26836}"/>
    <hyperlink ref="L27" r:id="rId33" display="info@s-refit.de" xr:uid="{5F76689E-0992-4B8A-9EB1-AD6ADB3EA1DA}"/>
    <hyperlink ref="K27" r:id="rId34" display="https://www.kfund.vc/" xr:uid="{498C2D70-3A51-4340-81B3-7EE52CB7B6DB}"/>
    <hyperlink ref="P14" r:id="rId35" xr:uid="{17B4A76A-3014-4F61-8A64-9AC96CA35382}"/>
    <hyperlink ref="P16" r:id="rId36" xr:uid="{03E4F1B5-572D-403A-B0FE-6C17E2EBC718}"/>
    <hyperlink ref="P34" r:id="rId37" xr:uid="{A1CB4AE3-E1D0-40B0-8389-D61B9EF3C689}"/>
  </hyperlinks>
  <pageMargins left="0.7" right="0.7" top="0.75" bottom="0.75" header="0.3" footer="0.3"/>
  <drawing r:id="rId3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0B25-0217-4A76-A6CA-D208AA25CA9D}">
  <sheetPr>
    <tabColor theme="6"/>
  </sheetPr>
  <dimension ref="B1:R16"/>
  <sheetViews>
    <sheetView topLeftCell="G12" workbookViewId="0">
      <selection activeCell="M2" sqref="M2:P16"/>
    </sheetView>
  </sheetViews>
  <sheetFormatPr defaultColWidth="9" defaultRowHeight="12.75" x14ac:dyDescent="0.2"/>
  <cols>
    <col min="1" max="1" width="3.28515625" customWidth="1"/>
    <col min="2" max="2" width="17.5703125" customWidth="1"/>
    <col min="3" max="3" width="19.42578125" customWidth="1"/>
    <col min="4" max="4" width="44.5703125" customWidth="1"/>
    <col min="5" max="5" width="16.7109375" customWidth="1"/>
    <col min="6" max="6" width="14.7109375" customWidth="1"/>
    <col min="7" max="10" width="16.5703125" customWidth="1"/>
    <col min="11" max="11" width="16.7109375" customWidth="1"/>
    <col min="12" max="12" width="20.42578125" customWidth="1"/>
    <col min="13" max="13" width="22.28515625" customWidth="1"/>
    <col min="14" max="14" width="22.28515625" style="105" customWidth="1"/>
    <col min="15" max="15" width="35.85546875" customWidth="1"/>
    <col min="16" max="16" width="22.7109375" customWidth="1"/>
    <col min="17" max="17" width="21.42578125" customWidth="1"/>
    <col min="18" max="18" width="36.7109375" customWidth="1"/>
    <col min="264" max="264" width="3.28515625" customWidth="1"/>
    <col min="265" max="265" width="17.5703125" customWidth="1"/>
    <col min="266" max="266" width="19.42578125" customWidth="1"/>
    <col min="267" max="267" width="44.5703125" customWidth="1"/>
    <col min="268" max="268" width="16.7109375" customWidth="1"/>
    <col min="269" max="269" width="14.7109375" customWidth="1"/>
    <col min="270" max="270" width="16.5703125" customWidth="1"/>
    <col min="271" max="271" width="16.7109375" customWidth="1"/>
    <col min="272" max="272" width="15.7109375" customWidth="1"/>
    <col min="273" max="273" width="21.42578125" customWidth="1"/>
    <col min="274" max="274" width="36.7109375" customWidth="1"/>
    <col min="520" max="520" width="3.28515625" customWidth="1"/>
    <col min="521" max="521" width="17.5703125" customWidth="1"/>
    <col min="522" max="522" width="19.42578125" customWidth="1"/>
    <col min="523" max="523" width="44.5703125" customWidth="1"/>
    <col min="524" max="524" width="16.7109375" customWidth="1"/>
    <col min="525" max="525" width="14.7109375" customWidth="1"/>
    <col min="526" max="526" width="16.5703125" customWidth="1"/>
    <col min="527" max="527" width="16.7109375" customWidth="1"/>
    <col min="528" max="528" width="15.7109375" customWidth="1"/>
    <col min="529" max="529" width="21.42578125" customWidth="1"/>
    <col min="530" max="530" width="36.7109375" customWidth="1"/>
    <col min="776" max="776" width="3.28515625" customWidth="1"/>
    <col min="777" max="777" width="17.5703125" customWidth="1"/>
    <col min="778" max="778" width="19.42578125" customWidth="1"/>
    <col min="779" max="779" width="44.5703125" customWidth="1"/>
    <col min="780" max="780" width="16.7109375" customWidth="1"/>
    <col min="781" max="781" width="14.7109375" customWidth="1"/>
    <col min="782" max="782" width="16.5703125" customWidth="1"/>
    <col min="783" max="783" width="16.7109375" customWidth="1"/>
    <col min="784" max="784" width="15.7109375" customWidth="1"/>
    <col min="785" max="785" width="21.42578125" customWidth="1"/>
    <col min="786" max="786" width="36.7109375" customWidth="1"/>
    <col min="1032" max="1032" width="3.28515625" customWidth="1"/>
    <col min="1033" max="1033" width="17.5703125" customWidth="1"/>
    <col min="1034" max="1034" width="19.42578125" customWidth="1"/>
    <col min="1035" max="1035" width="44.5703125" customWidth="1"/>
    <col min="1036" max="1036" width="16.7109375" customWidth="1"/>
    <col min="1037" max="1037" width="14.7109375" customWidth="1"/>
    <col min="1038" max="1038" width="16.5703125" customWidth="1"/>
    <col min="1039" max="1039" width="16.7109375" customWidth="1"/>
    <col min="1040" max="1040" width="15.7109375" customWidth="1"/>
    <col min="1041" max="1041" width="21.42578125" customWidth="1"/>
    <col min="1042" max="1042" width="36.7109375" customWidth="1"/>
    <col min="1288" max="1288" width="3.28515625" customWidth="1"/>
    <col min="1289" max="1289" width="17.5703125" customWidth="1"/>
    <col min="1290" max="1290" width="19.42578125" customWidth="1"/>
    <col min="1291" max="1291" width="44.5703125" customWidth="1"/>
    <col min="1292" max="1292" width="16.7109375" customWidth="1"/>
    <col min="1293" max="1293" width="14.7109375" customWidth="1"/>
    <col min="1294" max="1294" width="16.5703125" customWidth="1"/>
    <col min="1295" max="1295" width="16.7109375" customWidth="1"/>
    <col min="1296" max="1296" width="15.7109375" customWidth="1"/>
    <col min="1297" max="1297" width="21.42578125" customWidth="1"/>
    <col min="1298" max="1298" width="36.7109375" customWidth="1"/>
    <col min="1544" max="1544" width="3.28515625" customWidth="1"/>
    <col min="1545" max="1545" width="17.5703125" customWidth="1"/>
    <col min="1546" max="1546" width="19.42578125" customWidth="1"/>
    <col min="1547" max="1547" width="44.5703125" customWidth="1"/>
    <col min="1548" max="1548" width="16.7109375" customWidth="1"/>
    <col min="1549" max="1549" width="14.7109375" customWidth="1"/>
    <col min="1550" max="1550" width="16.5703125" customWidth="1"/>
    <col min="1551" max="1551" width="16.7109375" customWidth="1"/>
    <col min="1552" max="1552" width="15.7109375" customWidth="1"/>
    <col min="1553" max="1553" width="21.42578125" customWidth="1"/>
    <col min="1554" max="1554" width="36.7109375" customWidth="1"/>
    <col min="1800" max="1800" width="3.28515625" customWidth="1"/>
    <col min="1801" max="1801" width="17.5703125" customWidth="1"/>
    <col min="1802" max="1802" width="19.42578125" customWidth="1"/>
    <col min="1803" max="1803" width="44.5703125" customWidth="1"/>
    <col min="1804" max="1804" width="16.7109375" customWidth="1"/>
    <col min="1805" max="1805" width="14.7109375" customWidth="1"/>
    <col min="1806" max="1806" width="16.5703125" customWidth="1"/>
    <col min="1807" max="1807" width="16.7109375" customWidth="1"/>
    <col min="1808" max="1808" width="15.7109375" customWidth="1"/>
    <col min="1809" max="1809" width="21.42578125" customWidth="1"/>
    <col min="1810" max="1810" width="36.7109375" customWidth="1"/>
    <col min="2056" max="2056" width="3.28515625" customWidth="1"/>
    <col min="2057" max="2057" width="17.5703125" customWidth="1"/>
    <col min="2058" max="2058" width="19.42578125" customWidth="1"/>
    <col min="2059" max="2059" width="44.5703125" customWidth="1"/>
    <col min="2060" max="2060" width="16.7109375" customWidth="1"/>
    <col min="2061" max="2061" width="14.7109375" customWidth="1"/>
    <col min="2062" max="2062" width="16.5703125" customWidth="1"/>
    <col min="2063" max="2063" width="16.7109375" customWidth="1"/>
    <col min="2064" max="2064" width="15.7109375" customWidth="1"/>
    <col min="2065" max="2065" width="21.42578125" customWidth="1"/>
    <col min="2066" max="2066" width="36.7109375" customWidth="1"/>
    <col min="2312" max="2312" width="3.28515625" customWidth="1"/>
    <col min="2313" max="2313" width="17.5703125" customWidth="1"/>
    <col min="2314" max="2314" width="19.42578125" customWidth="1"/>
    <col min="2315" max="2315" width="44.5703125" customWidth="1"/>
    <col min="2316" max="2316" width="16.7109375" customWidth="1"/>
    <col min="2317" max="2317" width="14.7109375" customWidth="1"/>
    <col min="2318" max="2318" width="16.5703125" customWidth="1"/>
    <col min="2319" max="2319" width="16.7109375" customWidth="1"/>
    <col min="2320" max="2320" width="15.7109375" customWidth="1"/>
    <col min="2321" max="2321" width="21.42578125" customWidth="1"/>
    <col min="2322" max="2322" width="36.7109375" customWidth="1"/>
    <col min="2568" max="2568" width="3.28515625" customWidth="1"/>
    <col min="2569" max="2569" width="17.5703125" customWidth="1"/>
    <col min="2570" max="2570" width="19.42578125" customWidth="1"/>
    <col min="2571" max="2571" width="44.5703125" customWidth="1"/>
    <col min="2572" max="2572" width="16.7109375" customWidth="1"/>
    <col min="2573" max="2573" width="14.7109375" customWidth="1"/>
    <col min="2574" max="2574" width="16.5703125" customWidth="1"/>
    <col min="2575" max="2575" width="16.7109375" customWidth="1"/>
    <col min="2576" max="2576" width="15.7109375" customWidth="1"/>
    <col min="2577" max="2577" width="21.42578125" customWidth="1"/>
    <col min="2578" max="2578" width="36.7109375" customWidth="1"/>
    <col min="2824" max="2824" width="3.28515625" customWidth="1"/>
    <col min="2825" max="2825" width="17.5703125" customWidth="1"/>
    <col min="2826" max="2826" width="19.42578125" customWidth="1"/>
    <col min="2827" max="2827" width="44.5703125" customWidth="1"/>
    <col min="2828" max="2828" width="16.7109375" customWidth="1"/>
    <col min="2829" max="2829" width="14.7109375" customWidth="1"/>
    <col min="2830" max="2830" width="16.5703125" customWidth="1"/>
    <col min="2831" max="2831" width="16.7109375" customWidth="1"/>
    <col min="2832" max="2832" width="15.7109375" customWidth="1"/>
    <col min="2833" max="2833" width="21.42578125" customWidth="1"/>
    <col min="2834" max="2834" width="36.7109375" customWidth="1"/>
    <col min="3080" max="3080" width="3.28515625" customWidth="1"/>
    <col min="3081" max="3081" width="17.5703125" customWidth="1"/>
    <col min="3082" max="3082" width="19.42578125" customWidth="1"/>
    <col min="3083" max="3083" width="44.5703125" customWidth="1"/>
    <col min="3084" max="3084" width="16.7109375" customWidth="1"/>
    <col min="3085" max="3085" width="14.7109375" customWidth="1"/>
    <col min="3086" max="3086" width="16.5703125" customWidth="1"/>
    <col min="3087" max="3087" width="16.7109375" customWidth="1"/>
    <col min="3088" max="3088" width="15.7109375" customWidth="1"/>
    <col min="3089" max="3089" width="21.42578125" customWidth="1"/>
    <col min="3090" max="3090" width="36.7109375" customWidth="1"/>
    <col min="3336" max="3336" width="3.28515625" customWidth="1"/>
    <col min="3337" max="3337" width="17.5703125" customWidth="1"/>
    <col min="3338" max="3338" width="19.42578125" customWidth="1"/>
    <col min="3339" max="3339" width="44.5703125" customWidth="1"/>
    <col min="3340" max="3340" width="16.7109375" customWidth="1"/>
    <col min="3341" max="3341" width="14.7109375" customWidth="1"/>
    <col min="3342" max="3342" width="16.5703125" customWidth="1"/>
    <col min="3343" max="3343" width="16.7109375" customWidth="1"/>
    <col min="3344" max="3344" width="15.7109375" customWidth="1"/>
    <col min="3345" max="3345" width="21.42578125" customWidth="1"/>
    <col min="3346" max="3346" width="36.7109375" customWidth="1"/>
    <col min="3592" max="3592" width="3.28515625" customWidth="1"/>
    <col min="3593" max="3593" width="17.5703125" customWidth="1"/>
    <col min="3594" max="3594" width="19.42578125" customWidth="1"/>
    <col min="3595" max="3595" width="44.5703125" customWidth="1"/>
    <col min="3596" max="3596" width="16.7109375" customWidth="1"/>
    <col min="3597" max="3597" width="14.7109375" customWidth="1"/>
    <col min="3598" max="3598" width="16.5703125" customWidth="1"/>
    <col min="3599" max="3599" width="16.7109375" customWidth="1"/>
    <col min="3600" max="3600" width="15.7109375" customWidth="1"/>
    <col min="3601" max="3601" width="21.42578125" customWidth="1"/>
    <col min="3602" max="3602" width="36.7109375" customWidth="1"/>
    <col min="3848" max="3848" width="3.28515625" customWidth="1"/>
    <col min="3849" max="3849" width="17.5703125" customWidth="1"/>
    <col min="3850" max="3850" width="19.42578125" customWidth="1"/>
    <col min="3851" max="3851" width="44.5703125" customWidth="1"/>
    <col min="3852" max="3852" width="16.7109375" customWidth="1"/>
    <col min="3853" max="3853" width="14.7109375" customWidth="1"/>
    <col min="3854" max="3854" width="16.5703125" customWidth="1"/>
    <col min="3855" max="3855" width="16.7109375" customWidth="1"/>
    <col min="3856" max="3856" width="15.7109375" customWidth="1"/>
    <col min="3857" max="3857" width="21.42578125" customWidth="1"/>
    <col min="3858" max="3858" width="36.7109375" customWidth="1"/>
    <col min="4104" max="4104" width="3.28515625" customWidth="1"/>
    <col min="4105" max="4105" width="17.5703125" customWidth="1"/>
    <col min="4106" max="4106" width="19.42578125" customWidth="1"/>
    <col min="4107" max="4107" width="44.5703125" customWidth="1"/>
    <col min="4108" max="4108" width="16.7109375" customWidth="1"/>
    <col min="4109" max="4109" width="14.7109375" customWidth="1"/>
    <col min="4110" max="4110" width="16.5703125" customWidth="1"/>
    <col min="4111" max="4111" width="16.7109375" customWidth="1"/>
    <col min="4112" max="4112" width="15.7109375" customWidth="1"/>
    <col min="4113" max="4113" width="21.42578125" customWidth="1"/>
    <col min="4114" max="4114" width="36.7109375" customWidth="1"/>
    <col min="4360" max="4360" width="3.28515625" customWidth="1"/>
    <col min="4361" max="4361" width="17.5703125" customWidth="1"/>
    <col min="4362" max="4362" width="19.42578125" customWidth="1"/>
    <col min="4363" max="4363" width="44.5703125" customWidth="1"/>
    <col min="4364" max="4364" width="16.7109375" customWidth="1"/>
    <col min="4365" max="4365" width="14.7109375" customWidth="1"/>
    <col min="4366" max="4366" width="16.5703125" customWidth="1"/>
    <col min="4367" max="4367" width="16.7109375" customWidth="1"/>
    <col min="4368" max="4368" width="15.7109375" customWidth="1"/>
    <col min="4369" max="4369" width="21.42578125" customWidth="1"/>
    <col min="4370" max="4370" width="36.7109375" customWidth="1"/>
    <col min="4616" max="4616" width="3.28515625" customWidth="1"/>
    <col min="4617" max="4617" width="17.5703125" customWidth="1"/>
    <col min="4618" max="4618" width="19.42578125" customWidth="1"/>
    <col min="4619" max="4619" width="44.5703125" customWidth="1"/>
    <col min="4620" max="4620" width="16.7109375" customWidth="1"/>
    <col min="4621" max="4621" width="14.7109375" customWidth="1"/>
    <col min="4622" max="4622" width="16.5703125" customWidth="1"/>
    <col min="4623" max="4623" width="16.7109375" customWidth="1"/>
    <col min="4624" max="4624" width="15.7109375" customWidth="1"/>
    <col min="4625" max="4625" width="21.42578125" customWidth="1"/>
    <col min="4626" max="4626" width="36.7109375" customWidth="1"/>
    <col min="4872" max="4872" width="3.28515625" customWidth="1"/>
    <col min="4873" max="4873" width="17.5703125" customWidth="1"/>
    <col min="4874" max="4874" width="19.42578125" customWidth="1"/>
    <col min="4875" max="4875" width="44.5703125" customWidth="1"/>
    <col min="4876" max="4876" width="16.7109375" customWidth="1"/>
    <col min="4877" max="4877" width="14.7109375" customWidth="1"/>
    <col min="4878" max="4878" width="16.5703125" customWidth="1"/>
    <col min="4879" max="4879" width="16.7109375" customWidth="1"/>
    <col min="4880" max="4880" width="15.7109375" customWidth="1"/>
    <col min="4881" max="4881" width="21.42578125" customWidth="1"/>
    <col min="4882" max="4882" width="36.7109375" customWidth="1"/>
    <col min="5128" max="5128" width="3.28515625" customWidth="1"/>
    <col min="5129" max="5129" width="17.5703125" customWidth="1"/>
    <col min="5130" max="5130" width="19.42578125" customWidth="1"/>
    <col min="5131" max="5131" width="44.5703125" customWidth="1"/>
    <col min="5132" max="5132" width="16.7109375" customWidth="1"/>
    <col min="5133" max="5133" width="14.7109375" customWidth="1"/>
    <col min="5134" max="5134" width="16.5703125" customWidth="1"/>
    <col min="5135" max="5135" width="16.7109375" customWidth="1"/>
    <col min="5136" max="5136" width="15.7109375" customWidth="1"/>
    <col min="5137" max="5137" width="21.42578125" customWidth="1"/>
    <col min="5138" max="5138" width="36.7109375" customWidth="1"/>
    <col min="5384" max="5384" width="3.28515625" customWidth="1"/>
    <col min="5385" max="5385" width="17.5703125" customWidth="1"/>
    <col min="5386" max="5386" width="19.42578125" customWidth="1"/>
    <col min="5387" max="5387" width="44.5703125" customWidth="1"/>
    <col min="5388" max="5388" width="16.7109375" customWidth="1"/>
    <col min="5389" max="5389" width="14.7109375" customWidth="1"/>
    <col min="5390" max="5390" width="16.5703125" customWidth="1"/>
    <col min="5391" max="5391" width="16.7109375" customWidth="1"/>
    <col min="5392" max="5392" width="15.7109375" customWidth="1"/>
    <col min="5393" max="5393" width="21.42578125" customWidth="1"/>
    <col min="5394" max="5394" width="36.7109375" customWidth="1"/>
    <col min="5640" max="5640" width="3.28515625" customWidth="1"/>
    <col min="5641" max="5641" width="17.5703125" customWidth="1"/>
    <col min="5642" max="5642" width="19.42578125" customWidth="1"/>
    <col min="5643" max="5643" width="44.5703125" customWidth="1"/>
    <col min="5644" max="5644" width="16.7109375" customWidth="1"/>
    <col min="5645" max="5645" width="14.7109375" customWidth="1"/>
    <col min="5646" max="5646" width="16.5703125" customWidth="1"/>
    <col min="5647" max="5647" width="16.7109375" customWidth="1"/>
    <col min="5648" max="5648" width="15.7109375" customWidth="1"/>
    <col min="5649" max="5649" width="21.42578125" customWidth="1"/>
    <col min="5650" max="5650" width="36.7109375" customWidth="1"/>
    <col min="5896" max="5896" width="3.28515625" customWidth="1"/>
    <col min="5897" max="5897" width="17.5703125" customWidth="1"/>
    <col min="5898" max="5898" width="19.42578125" customWidth="1"/>
    <col min="5899" max="5899" width="44.5703125" customWidth="1"/>
    <col min="5900" max="5900" width="16.7109375" customWidth="1"/>
    <col min="5901" max="5901" width="14.7109375" customWidth="1"/>
    <col min="5902" max="5902" width="16.5703125" customWidth="1"/>
    <col min="5903" max="5903" width="16.7109375" customWidth="1"/>
    <col min="5904" max="5904" width="15.7109375" customWidth="1"/>
    <col min="5905" max="5905" width="21.42578125" customWidth="1"/>
    <col min="5906" max="5906" width="36.7109375" customWidth="1"/>
    <col min="6152" max="6152" width="3.28515625" customWidth="1"/>
    <col min="6153" max="6153" width="17.5703125" customWidth="1"/>
    <col min="6154" max="6154" width="19.42578125" customWidth="1"/>
    <col min="6155" max="6155" width="44.5703125" customWidth="1"/>
    <col min="6156" max="6156" width="16.7109375" customWidth="1"/>
    <col min="6157" max="6157" width="14.7109375" customWidth="1"/>
    <col min="6158" max="6158" width="16.5703125" customWidth="1"/>
    <col min="6159" max="6159" width="16.7109375" customWidth="1"/>
    <col min="6160" max="6160" width="15.7109375" customWidth="1"/>
    <col min="6161" max="6161" width="21.42578125" customWidth="1"/>
    <col min="6162" max="6162" width="36.7109375" customWidth="1"/>
    <col min="6408" max="6408" width="3.28515625" customWidth="1"/>
    <col min="6409" max="6409" width="17.5703125" customWidth="1"/>
    <col min="6410" max="6410" width="19.42578125" customWidth="1"/>
    <col min="6411" max="6411" width="44.5703125" customWidth="1"/>
    <col min="6412" max="6412" width="16.7109375" customWidth="1"/>
    <col min="6413" max="6413" width="14.7109375" customWidth="1"/>
    <col min="6414" max="6414" width="16.5703125" customWidth="1"/>
    <col min="6415" max="6415" width="16.7109375" customWidth="1"/>
    <col min="6416" max="6416" width="15.7109375" customWidth="1"/>
    <col min="6417" max="6417" width="21.42578125" customWidth="1"/>
    <col min="6418" max="6418" width="36.7109375" customWidth="1"/>
    <col min="6664" max="6664" width="3.28515625" customWidth="1"/>
    <col min="6665" max="6665" width="17.5703125" customWidth="1"/>
    <col min="6666" max="6666" width="19.42578125" customWidth="1"/>
    <col min="6667" max="6667" width="44.5703125" customWidth="1"/>
    <col min="6668" max="6668" width="16.7109375" customWidth="1"/>
    <col min="6669" max="6669" width="14.7109375" customWidth="1"/>
    <col min="6670" max="6670" width="16.5703125" customWidth="1"/>
    <col min="6671" max="6671" width="16.7109375" customWidth="1"/>
    <col min="6672" max="6672" width="15.7109375" customWidth="1"/>
    <col min="6673" max="6673" width="21.42578125" customWidth="1"/>
    <col min="6674" max="6674" width="36.7109375" customWidth="1"/>
    <col min="6920" max="6920" width="3.28515625" customWidth="1"/>
    <col min="6921" max="6921" width="17.5703125" customWidth="1"/>
    <col min="6922" max="6922" width="19.42578125" customWidth="1"/>
    <col min="6923" max="6923" width="44.5703125" customWidth="1"/>
    <col min="6924" max="6924" width="16.7109375" customWidth="1"/>
    <col min="6925" max="6925" width="14.7109375" customWidth="1"/>
    <col min="6926" max="6926" width="16.5703125" customWidth="1"/>
    <col min="6927" max="6927" width="16.7109375" customWidth="1"/>
    <col min="6928" max="6928" width="15.7109375" customWidth="1"/>
    <col min="6929" max="6929" width="21.42578125" customWidth="1"/>
    <col min="6930" max="6930" width="36.7109375" customWidth="1"/>
    <col min="7176" max="7176" width="3.28515625" customWidth="1"/>
    <col min="7177" max="7177" width="17.5703125" customWidth="1"/>
    <col min="7178" max="7178" width="19.42578125" customWidth="1"/>
    <col min="7179" max="7179" width="44.5703125" customWidth="1"/>
    <col min="7180" max="7180" width="16.7109375" customWidth="1"/>
    <col min="7181" max="7181" width="14.7109375" customWidth="1"/>
    <col min="7182" max="7182" width="16.5703125" customWidth="1"/>
    <col min="7183" max="7183" width="16.7109375" customWidth="1"/>
    <col min="7184" max="7184" width="15.7109375" customWidth="1"/>
    <col min="7185" max="7185" width="21.42578125" customWidth="1"/>
    <col min="7186" max="7186" width="36.7109375" customWidth="1"/>
    <col min="7432" max="7432" width="3.28515625" customWidth="1"/>
    <col min="7433" max="7433" width="17.5703125" customWidth="1"/>
    <col min="7434" max="7434" width="19.42578125" customWidth="1"/>
    <col min="7435" max="7435" width="44.5703125" customWidth="1"/>
    <col min="7436" max="7436" width="16.7109375" customWidth="1"/>
    <col min="7437" max="7437" width="14.7109375" customWidth="1"/>
    <col min="7438" max="7438" width="16.5703125" customWidth="1"/>
    <col min="7439" max="7439" width="16.7109375" customWidth="1"/>
    <col min="7440" max="7440" width="15.7109375" customWidth="1"/>
    <col min="7441" max="7441" width="21.42578125" customWidth="1"/>
    <col min="7442" max="7442" width="36.7109375" customWidth="1"/>
    <col min="7688" max="7688" width="3.28515625" customWidth="1"/>
    <col min="7689" max="7689" width="17.5703125" customWidth="1"/>
    <col min="7690" max="7690" width="19.42578125" customWidth="1"/>
    <col min="7691" max="7691" width="44.5703125" customWidth="1"/>
    <col min="7692" max="7692" width="16.7109375" customWidth="1"/>
    <col min="7693" max="7693" width="14.7109375" customWidth="1"/>
    <col min="7694" max="7694" width="16.5703125" customWidth="1"/>
    <col min="7695" max="7695" width="16.7109375" customWidth="1"/>
    <col min="7696" max="7696" width="15.7109375" customWidth="1"/>
    <col min="7697" max="7697" width="21.42578125" customWidth="1"/>
    <col min="7698" max="7698" width="36.7109375" customWidth="1"/>
    <col min="7944" max="7944" width="3.28515625" customWidth="1"/>
    <col min="7945" max="7945" width="17.5703125" customWidth="1"/>
    <col min="7946" max="7946" width="19.42578125" customWidth="1"/>
    <col min="7947" max="7947" width="44.5703125" customWidth="1"/>
    <col min="7948" max="7948" width="16.7109375" customWidth="1"/>
    <col min="7949" max="7949" width="14.7109375" customWidth="1"/>
    <col min="7950" max="7950" width="16.5703125" customWidth="1"/>
    <col min="7951" max="7951" width="16.7109375" customWidth="1"/>
    <col min="7952" max="7952" width="15.7109375" customWidth="1"/>
    <col min="7953" max="7953" width="21.42578125" customWidth="1"/>
    <col min="7954" max="7954" width="36.7109375" customWidth="1"/>
    <col min="8200" max="8200" width="3.28515625" customWidth="1"/>
    <col min="8201" max="8201" width="17.5703125" customWidth="1"/>
    <col min="8202" max="8202" width="19.42578125" customWidth="1"/>
    <col min="8203" max="8203" width="44.5703125" customWidth="1"/>
    <col min="8204" max="8204" width="16.7109375" customWidth="1"/>
    <col min="8205" max="8205" width="14.7109375" customWidth="1"/>
    <col min="8206" max="8206" width="16.5703125" customWidth="1"/>
    <col min="8207" max="8207" width="16.7109375" customWidth="1"/>
    <col min="8208" max="8208" width="15.7109375" customWidth="1"/>
    <col min="8209" max="8209" width="21.42578125" customWidth="1"/>
    <col min="8210" max="8210" width="36.7109375" customWidth="1"/>
    <col min="8456" max="8456" width="3.28515625" customWidth="1"/>
    <col min="8457" max="8457" width="17.5703125" customWidth="1"/>
    <col min="8458" max="8458" width="19.42578125" customWidth="1"/>
    <col min="8459" max="8459" width="44.5703125" customWidth="1"/>
    <col min="8460" max="8460" width="16.7109375" customWidth="1"/>
    <col min="8461" max="8461" width="14.7109375" customWidth="1"/>
    <col min="8462" max="8462" width="16.5703125" customWidth="1"/>
    <col min="8463" max="8463" width="16.7109375" customWidth="1"/>
    <col min="8464" max="8464" width="15.7109375" customWidth="1"/>
    <col min="8465" max="8465" width="21.42578125" customWidth="1"/>
    <col min="8466" max="8466" width="36.7109375" customWidth="1"/>
    <col min="8712" max="8712" width="3.28515625" customWidth="1"/>
    <col min="8713" max="8713" width="17.5703125" customWidth="1"/>
    <col min="8714" max="8714" width="19.42578125" customWidth="1"/>
    <col min="8715" max="8715" width="44.5703125" customWidth="1"/>
    <col min="8716" max="8716" width="16.7109375" customWidth="1"/>
    <col min="8717" max="8717" width="14.7109375" customWidth="1"/>
    <col min="8718" max="8718" width="16.5703125" customWidth="1"/>
    <col min="8719" max="8719" width="16.7109375" customWidth="1"/>
    <col min="8720" max="8720" width="15.7109375" customWidth="1"/>
    <col min="8721" max="8721" width="21.42578125" customWidth="1"/>
    <col min="8722" max="8722" width="36.7109375" customWidth="1"/>
    <col min="8968" max="8968" width="3.28515625" customWidth="1"/>
    <col min="8969" max="8969" width="17.5703125" customWidth="1"/>
    <col min="8970" max="8970" width="19.42578125" customWidth="1"/>
    <col min="8971" max="8971" width="44.5703125" customWidth="1"/>
    <col min="8972" max="8972" width="16.7109375" customWidth="1"/>
    <col min="8973" max="8973" width="14.7109375" customWidth="1"/>
    <col min="8974" max="8974" width="16.5703125" customWidth="1"/>
    <col min="8975" max="8975" width="16.7109375" customWidth="1"/>
    <col min="8976" max="8976" width="15.7109375" customWidth="1"/>
    <col min="8977" max="8977" width="21.42578125" customWidth="1"/>
    <col min="8978" max="8978" width="36.7109375" customWidth="1"/>
    <col min="9224" max="9224" width="3.28515625" customWidth="1"/>
    <col min="9225" max="9225" width="17.5703125" customWidth="1"/>
    <col min="9226" max="9226" width="19.42578125" customWidth="1"/>
    <col min="9227" max="9227" width="44.5703125" customWidth="1"/>
    <col min="9228" max="9228" width="16.7109375" customWidth="1"/>
    <col min="9229" max="9229" width="14.7109375" customWidth="1"/>
    <col min="9230" max="9230" width="16.5703125" customWidth="1"/>
    <col min="9231" max="9231" width="16.7109375" customWidth="1"/>
    <col min="9232" max="9232" width="15.7109375" customWidth="1"/>
    <col min="9233" max="9233" width="21.42578125" customWidth="1"/>
    <col min="9234" max="9234" width="36.7109375" customWidth="1"/>
    <col min="9480" max="9480" width="3.28515625" customWidth="1"/>
    <col min="9481" max="9481" width="17.5703125" customWidth="1"/>
    <col min="9482" max="9482" width="19.42578125" customWidth="1"/>
    <col min="9483" max="9483" width="44.5703125" customWidth="1"/>
    <col min="9484" max="9484" width="16.7109375" customWidth="1"/>
    <col min="9485" max="9485" width="14.7109375" customWidth="1"/>
    <col min="9486" max="9486" width="16.5703125" customWidth="1"/>
    <col min="9487" max="9487" width="16.7109375" customWidth="1"/>
    <col min="9488" max="9488" width="15.7109375" customWidth="1"/>
    <col min="9489" max="9489" width="21.42578125" customWidth="1"/>
    <col min="9490" max="9490" width="36.7109375" customWidth="1"/>
    <col min="9736" max="9736" width="3.28515625" customWidth="1"/>
    <col min="9737" max="9737" width="17.5703125" customWidth="1"/>
    <col min="9738" max="9738" width="19.42578125" customWidth="1"/>
    <col min="9739" max="9739" width="44.5703125" customWidth="1"/>
    <col min="9740" max="9740" width="16.7109375" customWidth="1"/>
    <col min="9741" max="9741" width="14.7109375" customWidth="1"/>
    <col min="9742" max="9742" width="16.5703125" customWidth="1"/>
    <col min="9743" max="9743" width="16.7109375" customWidth="1"/>
    <col min="9744" max="9744" width="15.7109375" customWidth="1"/>
    <col min="9745" max="9745" width="21.42578125" customWidth="1"/>
    <col min="9746" max="9746" width="36.7109375" customWidth="1"/>
    <col min="9992" max="9992" width="3.28515625" customWidth="1"/>
    <col min="9993" max="9993" width="17.5703125" customWidth="1"/>
    <col min="9994" max="9994" width="19.42578125" customWidth="1"/>
    <col min="9995" max="9995" width="44.5703125" customWidth="1"/>
    <col min="9996" max="9996" width="16.7109375" customWidth="1"/>
    <col min="9997" max="9997" width="14.7109375" customWidth="1"/>
    <col min="9998" max="9998" width="16.5703125" customWidth="1"/>
    <col min="9999" max="9999" width="16.7109375" customWidth="1"/>
    <col min="10000" max="10000" width="15.7109375" customWidth="1"/>
    <col min="10001" max="10001" width="21.42578125" customWidth="1"/>
    <col min="10002" max="10002" width="36.7109375" customWidth="1"/>
    <col min="10248" max="10248" width="3.28515625" customWidth="1"/>
    <col min="10249" max="10249" width="17.5703125" customWidth="1"/>
    <col min="10250" max="10250" width="19.42578125" customWidth="1"/>
    <col min="10251" max="10251" width="44.5703125" customWidth="1"/>
    <col min="10252" max="10252" width="16.7109375" customWidth="1"/>
    <col min="10253" max="10253" width="14.7109375" customWidth="1"/>
    <col min="10254" max="10254" width="16.5703125" customWidth="1"/>
    <col min="10255" max="10255" width="16.7109375" customWidth="1"/>
    <col min="10256" max="10256" width="15.7109375" customWidth="1"/>
    <col min="10257" max="10257" width="21.42578125" customWidth="1"/>
    <col min="10258" max="10258" width="36.7109375" customWidth="1"/>
    <col min="10504" max="10504" width="3.28515625" customWidth="1"/>
    <col min="10505" max="10505" width="17.5703125" customWidth="1"/>
    <col min="10506" max="10506" width="19.42578125" customWidth="1"/>
    <col min="10507" max="10507" width="44.5703125" customWidth="1"/>
    <col min="10508" max="10508" width="16.7109375" customWidth="1"/>
    <col min="10509" max="10509" width="14.7109375" customWidth="1"/>
    <col min="10510" max="10510" width="16.5703125" customWidth="1"/>
    <col min="10511" max="10511" width="16.7109375" customWidth="1"/>
    <col min="10512" max="10512" width="15.7109375" customWidth="1"/>
    <col min="10513" max="10513" width="21.42578125" customWidth="1"/>
    <col min="10514" max="10514" width="36.7109375" customWidth="1"/>
    <col min="10760" max="10760" width="3.28515625" customWidth="1"/>
    <col min="10761" max="10761" width="17.5703125" customWidth="1"/>
    <col min="10762" max="10762" width="19.42578125" customWidth="1"/>
    <col min="10763" max="10763" width="44.5703125" customWidth="1"/>
    <col min="10764" max="10764" width="16.7109375" customWidth="1"/>
    <col min="10765" max="10765" width="14.7109375" customWidth="1"/>
    <col min="10766" max="10766" width="16.5703125" customWidth="1"/>
    <col min="10767" max="10767" width="16.7109375" customWidth="1"/>
    <col min="10768" max="10768" width="15.7109375" customWidth="1"/>
    <col min="10769" max="10769" width="21.42578125" customWidth="1"/>
    <col min="10770" max="10770" width="36.7109375" customWidth="1"/>
    <col min="11016" max="11016" width="3.28515625" customWidth="1"/>
    <col min="11017" max="11017" width="17.5703125" customWidth="1"/>
    <col min="11018" max="11018" width="19.42578125" customWidth="1"/>
    <col min="11019" max="11019" width="44.5703125" customWidth="1"/>
    <col min="11020" max="11020" width="16.7109375" customWidth="1"/>
    <col min="11021" max="11021" width="14.7109375" customWidth="1"/>
    <col min="11022" max="11022" width="16.5703125" customWidth="1"/>
    <col min="11023" max="11023" width="16.7109375" customWidth="1"/>
    <col min="11024" max="11024" width="15.7109375" customWidth="1"/>
    <col min="11025" max="11025" width="21.42578125" customWidth="1"/>
    <col min="11026" max="11026" width="36.7109375" customWidth="1"/>
    <col min="11272" max="11272" width="3.28515625" customWidth="1"/>
    <col min="11273" max="11273" width="17.5703125" customWidth="1"/>
    <col min="11274" max="11274" width="19.42578125" customWidth="1"/>
    <col min="11275" max="11275" width="44.5703125" customWidth="1"/>
    <col min="11276" max="11276" width="16.7109375" customWidth="1"/>
    <col min="11277" max="11277" width="14.7109375" customWidth="1"/>
    <col min="11278" max="11278" width="16.5703125" customWidth="1"/>
    <col min="11279" max="11279" width="16.7109375" customWidth="1"/>
    <col min="11280" max="11280" width="15.7109375" customWidth="1"/>
    <col min="11281" max="11281" width="21.42578125" customWidth="1"/>
    <col min="11282" max="11282" width="36.7109375" customWidth="1"/>
    <col min="11528" max="11528" width="3.28515625" customWidth="1"/>
    <col min="11529" max="11529" width="17.5703125" customWidth="1"/>
    <col min="11530" max="11530" width="19.42578125" customWidth="1"/>
    <col min="11531" max="11531" width="44.5703125" customWidth="1"/>
    <col min="11532" max="11532" width="16.7109375" customWidth="1"/>
    <col min="11533" max="11533" width="14.7109375" customWidth="1"/>
    <col min="11534" max="11534" width="16.5703125" customWidth="1"/>
    <col min="11535" max="11535" width="16.7109375" customWidth="1"/>
    <col min="11536" max="11536" width="15.7109375" customWidth="1"/>
    <col min="11537" max="11537" width="21.42578125" customWidth="1"/>
    <col min="11538" max="11538" width="36.7109375" customWidth="1"/>
    <col min="11784" max="11784" width="3.28515625" customWidth="1"/>
    <col min="11785" max="11785" width="17.5703125" customWidth="1"/>
    <col min="11786" max="11786" width="19.42578125" customWidth="1"/>
    <col min="11787" max="11787" width="44.5703125" customWidth="1"/>
    <col min="11788" max="11788" width="16.7109375" customWidth="1"/>
    <col min="11789" max="11789" width="14.7109375" customWidth="1"/>
    <col min="11790" max="11790" width="16.5703125" customWidth="1"/>
    <col min="11791" max="11791" width="16.7109375" customWidth="1"/>
    <col min="11792" max="11792" width="15.7109375" customWidth="1"/>
    <col min="11793" max="11793" width="21.42578125" customWidth="1"/>
    <col min="11794" max="11794" width="36.7109375" customWidth="1"/>
    <col min="12040" max="12040" width="3.28515625" customWidth="1"/>
    <col min="12041" max="12041" width="17.5703125" customWidth="1"/>
    <col min="12042" max="12042" width="19.42578125" customWidth="1"/>
    <col min="12043" max="12043" width="44.5703125" customWidth="1"/>
    <col min="12044" max="12044" width="16.7109375" customWidth="1"/>
    <col min="12045" max="12045" width="14.7109375" customWidth="1"/>
    <col min="12046" max="12046" width="16.5703125" customWidth="1"/>
    <col min="12047" max="12047" width="16.7109375" customWidth="1"/>
    <col min="12048" max="12048" width="15.7109375" customWidth="1"/>
    <col min="12049" max="12049" width="21.42578125" customWidth="1"/>
    <col min="12050" max="12050" width="36.7109375" customWidth="1"/>
    <col min="12296" max="12296" width="3.28515625" customWidth="1"/>
    <col min="12297" max="12297" width="17.5703125" customWidth="1"/>
    <col min="12298" max="12298" width="19.42578125" customWidth="1"/>
    <col min="12299" max="12299" width="44.5703125" customWidth="1"/>
    <col min="12300" max="12300" width="16.7109375" customWidth="1"/>
    <col min="12301" max="12301" width="14.7109375" customWidth="1"/>
    <col min="12302" max="12302" width="16.5703125" customWidth="1"/>
    <col min="12303" max="12303" width="16.7109375" customWidth="1"/>
    <col min="12304" max="12304" width="15.7109375" customWidth="1"/>
    <col min="12305" max="12305" width="21.42578125" customWidth="1"/>
    <col min="12306" max="12306" width="36.7109375" customWidth="1"/>
    <col min="12552" max="12552" width="3.28515625" customWidth="1"/>
    <col min="12553" max="12553" width="17.5703125" customWidth="1"/>
    <col min="12554" max="12554" width="19.42578125" customWidth="1"/>
    <col min="12555" max="12555" width="44.5703125" customWidth="1"/>
    <col min="12556" max="12556" width="16.7109375" customWidth="1"/>
    <col min="12557" max="12557" width="14.7109375" customWidth="1"/>
    <col min="12558" max="12558" width="16.5703125" customWidth="1"/>
    <col min="12559" max="12559" width="16.7109375" customWidth="1"/>
    <col min="12560" max="12560" width="15.7109375" customWidth="1"/>
    <col min="12561" max="12561" width="21.42578125" customWidth="1"/>
    <col min="12562" max="12562" width="36.7109375" customWidth="1"/>
    <col min="12808" max="12808" width="3.28515625" customWidth="1"/>
    <col min="12809" max="12809" width="17.5703125" customWidth="1"/>
    <col min="12810" max="12810" width="19.42578125" customWidth="1"/>
    <col min="12811" max="12811" width="44.5703125" customWidth="1"/>
    <col min="12812" max="12812" width="16.7109375" customWidth="1"/>
    <col min="12813" max="12813" width="14.7109375" customWidth="1"/>
    <col min="12814" max="12814" width="16.5703125" customWidth="1"/>
    <col min="12815" max="12815" width="16.7109375" customWidth="1"/>
    <col min="12816" max="12816" width="15.7109375" customWidth="1"/>
    <col min="12817" max="12817" width="21.42578125" customWidth="1"/>
    <col min="12818" max="12818" width="36.7109375" customWidth="1"/>
    <col min="13064" max="13064" width="3.28515625" customWidth="1"/>
    <col min="13065" max="13065" width="17.5703125" customWidth="1"/>
    <col min="13066" max="13066" width="19.42578125" customWidth="1"/>
    <col min="13067" max="13067" width="44.5703125" customWidth="1"/>
    <col min="13068" max="13068" width="16.7109375" customWidth="1"/>
    <col min="13069" max="13069" width="14.7109375" customWidth="1"/>
    <col min="13070" max="13070" width="16.5703125" customWidth="1"/>
    <col min="13071" max="13071" width="16.7109375" customWidth="1"/>
    <col min="13072" max="13072" width="15.7109375" customWidth="1"/>
    <col min="13073" max="13073" width="21.42578125" customWidth="1"/>
    <col min="13074" max="13074" width="36.7109375" customWidth="1"/>
    <col min="13320" max="13320" width="3.28515625" customWidth="1"/>
    <col min="13321" max="13321" width="17.5703125" customWidth="1"/>
    <col min="13322" max="13322" width="19.42578125" customWidth="1"/>
    <col min="13323" max="13323" width="44.5703125" customWidth="1"/>
    <col min="13324" max="13324" width="16.7109375" customWidth="1"/>
    <col min="13325" max="13325" width="14.7109375" customWidth="1"/>
    <col min="13326" max="13326" width="16.5703125" customWidth="1"/>
    <col min="13327" max="13327" width="16.7109375" customWidth="1"/>
    <col min="13328" max="13328" width="15.7109375" customWidth="1"/>
    <col min="13329" max="13329" width="21.42578125" customWidth="1"/>
    <col min="13330" max="13330" width="36.7109375" customWidth="1"/>
    <col min="13576" max="13576" width="3.28515625" customWidth="1"/>
    <col min="13577" max="13577" width="17.5703125" customWidth="1"/>
    <col min="13578" max="13578" width="19.42578125" customWidth="1"/>
    <col min="13579" max="13579" width="44.5703125" customWidth="1"/>
    <col min="13580" max="13580" width="16.7109375" customWidth="1"/>
    <col min="13581" max="13581" width="14.7109375" customWidth="1"/>
    <col min="13582" max="13582" width="16.5703125" customWidth="1"/>
    <col min="13583" max="13583" width="16.7109375" customWidth="1"/>
    <col min="13584" max="13584" width="15.7109375" customWidth="1"/>
    <col min="13585" max="13585" width="21.42578125" customWidth="1"/>
    <col min="13586" max="13586" width="36.7109375" customWidth="1"/>
    <col min="13832" max="13832" width="3.28515625" customWidth="1"/>
    <col min="13833" max="13833" width="17.5703125" customWidth="1"/>
    <col min="13834" max="13834" width="19.42578125" customWidth="1"/>
    <col min="13835" max="13835" width="44.5703125" customWidth="1"/>
    <col min="13836" max="13836" width="16.7109375" customWidth="1"/>
    <col min="13837" max="13837" width="14.7109375" customWidth="1"/>
    <col min="13838" max="13838" width="16.5703125" customWidth="1"/>
    <col min="13839" max="13839" width="16.7109375" customWidth="1"/>
    <col min="13840" max="13840" width="15.7109375" customWidth="1"/>
    <col min="13841" max="13841" width="21.42578125" customWidth="1"/>
    <col min="13842" max="13842" width="36.7109375" customWidth="1"/>
    <col min="14088" max="14088" width="3.28515625" customWidth="1"/>
    <col min="14089" max="14089" width="17.5703125" customWidth="1"/>
    <col min="14090" max="14090" width="19.42578125" customWidth="1"/>
    <col min="14091" max="14091" width="44.5703125" customWidth="1"/>
    <col min="14092" max="14092" width="16.7109375" customWidth="1"/>
    <col min="14093" max="14093" width="14.7109375" customWidth="1"/>
    <col min="14094" max="14094" width="16.5703125" customWidth="1"/>
    <col min="14095" max="14095" width="16.7109375" customWidth="1"/>
    <col min="14096" max="14096" width="15.7109375" customWidth="1"/>
    <col min="14097" max="14097" width="21.42578125" customWidth="1"/>
    <col min="14098" max="14098" width="36.7109375" customWidth="1"/>
    <col min="14344" max="14344" width="3.28515625" customWidth="1"/>
    <col min="14345" max="14345" width="17.5703125" customWidth="1"/>
    <col min="14346" max="14346" width="19.42578125" customWidth="1"/>
    <col min="14347" max="14347" width="44.5703125" customWidth="1"/>
    <col min="14348" max="14348" width="16.7109375" customWidth="1"/>
    <col min="14349" max="14349" width="14.7109375" customWidth="1"/>
    <col min="14350" max="14350" width="16.5703125" customWidth="1"/>
    <col min="14351" max="14351" width="16.7109375" customWidth="1"/>
    <col min="14352" max="14352" width="15.7109375" customWidth="1"/>
    <col min="14353" max="14353" width="21.42578125" customWidth="1"/>
    <col min="14354" max="14354" width="36.7109375" customWidth="1"/>
    <col min="14600" max="14600" width="3.28515625" customWidth="1"/>
    <col min="14601" max="14601" width="17.5703125" customWidth="1"/>
    <col min="14602" max="14602" width="19.42578125" customWidth="1"/>
    <col min="14603" max="14603" width="44.5703125" customWidth="1"/>
    <col min="14604" max="14604" width="16.7109375" customWidth="1"/>
    <col min="14605" max="14605" width="14.7109375" customWidth="1"/>
    <col min="14606" max="14606" width="16.5703125" customWidth="1"/>
    <col min="14607" max="14607" width="16.7109375" customWidth="1"/>
    <col min="14608" max="14608" width="15.7109375" customWidth="1"/>
    <col min="14609" max="14609" width="21.42578125" customWidth="1"/>
    <col min="14610" max="14610" width="36.7109375" customWidth="1"/>
    <col min="14856" max="14856" width="3.28515625" customWidth="1"/>
    <col min="14857" max="14857" width="17.5703125" customWidth="1"/>
    <col min="14858" max="14858" width="19.42578125" customWidth="1"/>
    <col min="14859" max="14859" width="44.5703125" customWidth="1"/>
    <col min="14860" max="14860" width="16.7109375" customWidth="1"/>
    <col min="14861" max="14861" width="14.7109375" customWidth="1"/>
    <col min="14862" max="14862" width="16.5703125" customWidth="1"/>
    <col min="14863" max="14863" width="16.7109375" customWidth="1"/>
    <col min="14864" max="14864" width="15.7109375" customWidth="1"/>
    <col min="14865" max="14865" width="21.42578125" customWidth="1"/>
    <col min="14866" max="14866" width="36.7109375" customWidth="1"/>
    <col min="15112" max="15112" width="3.28515625" customWidth="1"/>
    <col min="15113" max="15113" width="17.5703125" customWidth="1"/>
    <col min="15114" max="15114" width="19.42578125" customWidth="1"/>
    <col min="15115" max="15115" width="44.5703125" customWidth="1"/>
    <col min="15116" max="15116" width="16.7109375" customWidth="1"/>
    <col min="15117" max="15117" width="14.7109375" customWidth="1"/>
    <col min="15118" max="15118" width="16.5703125" customWidth="1"/>
    <col min="15119" max="15119" width="16.7109375" customWidth="1"/>
    <col min="15120" max="15120" width="15.7109375" customWidth="1"/>
    <col min="15121" max="15121" width="21.42578125" customWidth="1"/>
    <col min="15122" max="15122" width="36.7109375" customWidth="1"/>
    <col min="15368" max="15368" width="3.28515625" customWidth="1"/>
    <col min="15369" max="15369" width="17.5703125" customWidth="1"/>
    <col min="15370" max="15370" width="19.42578125" customWidth="1"/>
    <col min="15371" max="15371" width="44.5703125" customWidth="1"/>
    <col min="15372" max="15372" width="16.7109375" customWidth="1"/>
    <col min="15373" max="15373" width="14.7109375" customWidth="1"/>
    <col min="15374" max="15374" width="16.5703125" customWidth="1"/>
    <col min="15375" max="15375" width="16.7109375" customWidth="1"/>
    <col min="15376" max="15376" width="15.7109375" customWidth="1"/>
    <col min="15377" max="15377" width="21.42578125" customWidth="1"/>
    <col min="15378" max="15378" width="36.7109375" customWidth="1"/>
    <col min="15624" max="15624" width="3.28515625" customWidth="1"/>
    <col min="15625" max="15625" width="17.5703125" customWidth="1"/>
    <col min="15626" max="15626" width="19.42578125" customWidth="1"/>
    <col min="15627" max="15627" width="44.5703125" customWidth="1"/>
    <col min="15628" max="15628" width="16.7109375" customWidth="1"/>
    <col min="15629" max="15629" width="14.7109375" customWidth="1"/>
    <col min="15630" max="15630" width="16.5703125" customWidth="1"/>
    <col min="15631" max="15631" width="16.7109375" customWidth="1"/>
    <col min="15632" max="15632" width="15.7109375" customWidth="1"/>
    <col min="15633" max="15633" width="21.42578125" customWidth="1"/>
    <col min="15634" max="15634" width="36.7109375" customWidth="1"/>
    <col min="15880" max="15880" width="3.28515625" customWidth="1"/>
    <col min="15881" max="15881" width="17.5703125" customWidth="1"/>
    <col min="15882" max="15882" width="19.42578125" customWidth="1"/>
    <col min="15883" max="15883" width="44.5703125" customWidth="1"/>
    <col min="15884" max="15884" width="16.7109375" customWidth="1"/>
    <col min="15885" max="15885" width="14.7109375" customWidth="1"/>
    <col min="15886" max="15886" width="16.5703125" customWidth="1"/>
    <col min="15887" max="15887" width="16.7109375" customWidth="1"/>
    <col min="15888" max="15888" width="15.7109375" customWidth="1"/>
    <col min="15889" max="15889" width="21.42578125" customWidth="1"/>
    <col min="15890" max="15890" width="36.7109375" customWidth="1"/>
    <col min="16136" max="16136" width="3.28515625" customWidth="1"/>
    <col min="16137" max="16137" width="17.5703125" customWidth="1"/>
    <col min="16138" max="16138" width="19.42578125" customWidth="1"/>
    <col min="16139" max="16139" width="44.5703125" customWidth="1"/>
    <col min="16140" max="16140" width="16.7109375" customWidth="1"/>
    <col min="16141" max="16141" width="14.7109375" customWidth="1"/>
    <col min="16142" max="16142" width="16.5703125" customWidth="1"/>
    <col min="16143" max="16143" width="16.7109375" customWidth="1"/>
    <col min="16144" max="16144" width="15.7109375" customWidth="1"/>
    <col min="16145" max="16145" width="21.42578125" customWidth="1"/>
    <col min="16146" max="16146" width="36.7109375" customWidth="1"/>
  </cols>
  <sheetData>
    <row r="1" spans="2:18" ht="49.5" x14ac:dyDescent="0.2">
      <c r="B1" s="27" t="s">
        <v>505</v>
      </c>
      <c r="C1" s="28" t="s">
        <v>506</v>
      </c>
      <c r="D1" s="29" t="s">
        <v>168</v>
      </c>
      <c r="E1" s="29" t="s">
        <v>170</v>
      </c>
      <c r="F1" s="30" t="s">
        <v>507</v>
      </c>
      <c r="G1" s="30" t="s">
        <v>171</v>
      </c>
      <c r="H1" s="30" t="s">
        <v>1915</v>
      </c>
      <c r="I1" s="30" t="s">
        <v>1916</v>
      </c>
      <c r="J1" s="30" t="s">
        <v>1917</v>
      </c>
      <c r="K1" s="30" t="s">
        <v>172</v>
      </c>
      <c r="L1" s="29" t="s">
        <v>173</v>
      </c>
      <c r="M1" s="139" t="s">
        <v>1364</v>
      </c>
      <c r="N1" s="139" t="s">
        <v>1365</v>
      </c>
      <c r="O1" s="139" t="s">
        <v>1366</v>
      </c>
      <c r="P1" s="139" t="s">
        <v>177</v>
      </c>
      <c r="Q1" s="31" t="s">
        <v>175</v>
      </c>
      <c r="R1" s="31" t="s">
        <v>9</v>
      </c>
    </row>
    <row r="2" spans="2:18" ht="115.5" x14ac:dyDescent="0.2">
      <c r="B2" s="32" t="s">
        <v>508</v>
      </c>
      <c r="C2" s="33" t="s">
        <v>2008</v>
      </c>
      <c r="D2" s="33" t="s">
        <v>509</v>
      </c>
      <c r="E2" s="33" t="s">
        <v>510</v>
      </c>
      <c r="F2" s="33" t="s">
        <v>511</v>
      </c>
      <c r="G2" s="33" t="s">
        <v>512</v>
      </c>
      <c r="H2" s="33">
        <v>5000000</v>
      </c>
      <c r="I2" s="33">
        <v>40000000</v>
      </c>
      <c r="J2" s="33"/>
      <c r="K2" s="33" t="s">
        <v>239</v>
      </c>
      <c r="L2" s="33" t="s">
        <v>239</v>
      </c>
      <c r="M2" s="33" t="s">
        <v>1367</v>
      </c>
      <c r="N2" s="98" t="s">
        <v>1368</v>
      </c>
      <c r="O2" s="99" t="s">
        <v>1369</v>
      </c>
      <c r="P2" s="33" t="s">
        <v>1370</v>
      </c>
      <c r="Q2" s="138" t="s">
        <v>2011</v>
      </c>
      <c r="R2" s="33" t="s">
        <v>513</v>
      </c>
    </row>
    <row r="3" spans="2:18" ht="115.5" x14ac:dyDescent="0.2">
      <c r="B3" s="32" t="s">
        <v>514</v>
      </c>
      <c r="C3" s="33" t="s">
        <v>515</v>
      </c>
      <c r="D3" s="33" t="s">
        <v>516</v>
      </c>
      <c r="E3" s="33" t="s">
        <v>1371</v>
      </c>
      <c r="F3" s="33" t="s">
        <v>1372</v>
      </c>
      <c r="G3" s="33" t="s">
        <v>1373</v>
      </c>
      <c r="H3" s="33">
        <v>20000000</v>
      </c>
      <c r="I3" s="33">
        <v>100000000</v>
      </c>
      <c r="J3" s="33"/>
      <c r="K3" s="33" t="s">
        <v>2024</v>
      </c>
      <c r="L3" s="33" t="s">
        <v>517</v>
      </c>
      <c r="M3" s="33" t="s">
        <v>1374</v>
      </c>
      <c r="N3" s="98" t="s">
        <v>1375</v>
      </c>
      <c r="O3" s="98" t="s">
        <v>1376</v>
      </c>
      <c r="P3" s="33" t="s">
        <v>1377</v>
      </c>
      <c r="Q3" s="33" t="s">
        <v>2012</v>
      </c>
      <c r="R3" s="33" t="s">
        <v>518</v>
      </c>
    </row>
    <row r="4" spans="2:18" ht="82.5" x14ac:dyDescent="0.2">
      <c r="B4" s="32" t="s">
        <v>519</v>
      </c>
      <c r="C4" s="33" t="s">
        <v>515</v>
      </c>
      <c r="D4" s="33" t="s">
        <v>520</v>
      </c>
      <c r="E4" s="33" t="s">
        <v>510</v>
      </c>
      <c r="F4" s="33" t="s">
        <v>1378</v>
      </c>
      <c r="G4" s="33" t="s">
        <v>1379</v>
      </c>
      <c r="H4" s="33">
        <v>10000000</v>
      </c>
      <c r="I4" s="33">
        <v>50000000</v>
      </c>
      <c r="J4" s="33"/>
      <c r="K4" s="33" t="s">
        <v>353</v>
      </c>
      <c r="L4" s="33" t="s">
        <v>521</v>
      </c>
      <c r="M4" s="33" t="s">
        <v>1380</v>
      </c>
      <c r="N4" s="98" t="s">
        <v>1381</v>
      </c>
      <c r="O4" s="98" t="s">
        <v>1382</v>
      </c>
      <c r="P4" s="33" t="s">
        <v>1383</v>
      </c>
      <c r="Q4" s="33" t="s">
        <v>2013</v>
      </c>
      <c r="R4" s="33" t="s">
        <v>522</v>
      </c>
    </row>
    <row r="5" spans="2:18" ht="115.5" x14ac:dyDescent="0.2">
      <c r="B5" s="32" t="s">
        <v>523</v>
      </c>
      <c r="C5" s="33" t="s">
        <v>2009</v>
      </c>
      <c r="D5" s="33" t="s">
        <v>524</v>
      </c>
      <c r="E5" s="33" t="s">
        <v>525</v>
      </c>
      <c r="F5" s="33" t="s">
        <v>526</v>
      </c>
      <c r="G5" s="33" t="s">
        <v>1384</v>
      </c>
      <c r="H5" s="33">
        <v>12000000</v>
      </c>
      <c r="I5" s="33">
        <v>122000000</v>
      </c>
      <c r="J5" s="33"/>
      <c r="K5" s="33" t="s">
        <v>203</v>
      </c>
      <c r="L5" s="33" t="s">
        <v>527</v>
      </c>
      <c r="M5" s="33" t="s">
        <v>1385</v>
      </c>
      <c r="N5" s="98" t="s">
        <v>1386</v>
      </c>
      <c r="O5" s="99" t="s">
        <v>1387</v>
      </c>
      <c r="P5" s="33" t="s">
        <v>1388</v>
      </c>
      <c r="Q5" s="33" t="s">
        <v>2014</v>
      </c>
      <c r="R5" s="33" t="s">
        <v>528</v>
      </c>
    </row>
    <row r="6" spans="2:18" ht="66" x14ac:dyDescent="0.2">
      <c r="B6" s="32" t="s">
        <v>529</v>
      </c>
      <c r="C6" s="33" t="s">
        <v>515</v>
      </c>
      <c r="D6" s="33" t="s">
        <v>530</v>
      </c>
      <c r="E6" s="33" t="s">
        <v>531</v>
      </c>
      <c r="F6" s="33" t="s">
        <v>532</v>
      </c>
      <c r="G6" s="33" t="s">
        <v>1389</v>
      </c>
      <c r="H6" s="33">
        <v>12000000</v>
      </c>
      <c r="I6" s="33">
        <v>98000000</v>
      </c>
      <c r="J6" s="33"/>
      <c r="K6" s="33" t="s">
        <v>2025</v>
      </c>
      <c r="L6" s="33" t="s">
        <v>533</v>
      </c>
      <c r="M6" s="33" t="s">
        <v>1390</v>
      </c>
      <c r="N6" s="98" t="s">
        <v>1391</v>
      </c>
      <c r="O6" s="100" t="s">
        <v>1392</v>
      </c>
      <c r="P6" t="s">
        <v>1393</v>
      </c>
      <c r="Q6" s="33" t="s">
        <v>2015</v>
      </c>
      <c r="R6" s="34" t="s">
        <v>534</v>
      </c>
    </row>
    <row r="7" spans="2:18" ht="99" x14ac:dyDescent="0.2">
      <c r="B7" s="32" t="s">
        <v>535</v>
      </c>
      <c r="C7" s="33" t="s">
        <v>2010</v>
      </c>
      <c r="D7" s="33" t="s">
        <v>537</v>
      </c>
      <c r="E7" s="33" t="s">
        <v>538</v>
      </c>
      <c r="F7" s="33" t="s">
        <v>1394</v>
      </c>
      <c r="G7" s="33" t="s">
        <v>1395</v>
      </c>
      <c r="H7" s="33">
        <v>23000000</v>
      </c>
      <c r="I7" s="33">
        <v>100000000</v>
      </c>
      <c r="J7" s="33"/>
      <c r="K7" s="33" t="s">
        <v>2030</v>
      </c>
      <c r="L7" s="33" t="s">
        <v>539</v>
      </c>
      <c r="M7" s="101" t="s">
        <v>1396</v>
      </c>
      <c r="N7" s="98" t="s">
        <v>1397</v>
      </c>
      <c r="O7" s="99" t="s">
        <v>1398</v>
      </c>
      <c r="P7" s="33" t="s">
        <v>1399</v>
      </c>
      <c r="Q7" s="33" t="s">
        <v>2016</v>
      </c>
      <c r="R7" s="34" t="s">
        <v>540</v>
      </c>
    </row>
    <row r="8" spans="2:18" ht="82.5" x14ac:dyDescent="0.2">
      <c r="B8" s="32" t="s">
        <v>541</v>
      </c>
      <c r="C8" s="33" t="s">
        <v>515</v>
      </c>
      <c r="D8" s="33" t="s">
        <v>542</v>
      </c>
      <c r="E8" s="33" t="s">
        <v>510</v>
      </c>
      <c r="F8" s="33" t="s">
        <v>1400</v>
      </c>
      <c r="G8" s="33" t="s">
        <v>1401</v>
      </c>
      <c r="H8" s="33">
        <v>10000000</v>
      </c>
      <c r="I8" s="33">
        <v>10000000</v>
      </c>
      <c r="J8" s="33"/>
      <c r="K8" s="33" t="s">
        <v>203</v>
      </c>
      <c r="L8" s="33" t="s">
        <v>543</v>
      </c>
      <c r="M8" s="34" t="s">
        <v>534</v>
      </c>
      <c r="N8" s="34" t="s">
        <v>534</v>
      </c>
      <c r="O8" s="98" t="s">
        <v>1402</v>
      </c>
      <c r="P8" s="33" t="s">
        <v>1403</v>
      </c>
      <c r="Q8" s="33" t="s">
        <v>2017</v>
      </c>
      <c r="R8" s="33" t="s">
        <v>544</v>
      </c>
    </row>
    <row r="9" spans="2:18" ht="49.5" x14ac:dyDescent="0.2">
      <c r="B9" s="32" t="s">
        <v>545</v>
      </c>
      <c r="C9" s="33" t="s">
        <v>515</v>
      </c>
      <c r="D9" s="33" t="s">
        <v>546</v>
      </c>
      <c r="E9" s="33" t="s">
        <v>547</v>
      </c>
      <c r="F9" s="33" t="s">
        <v>1404</v>
      </c>
      <c r="G9" s="33" t="s">
        <v>1405</v>
      </c>
      <c r="H9" s="33">
        <v>30000000</v>
      </c>
      <c r="I9" s="33">
        <v>100000000</v>
      </c>
      <c r="J9" s="33"/>
      <c r="K9" s="33" t="s">
        <v>548</v>
      </c>
      <c r="L9" s="33" t="s">
        <v>543</v>
      </c>
      <c r="M9" s="33" t="s">
        <v>1406</v>
      </c>
      <c r="N9" s="98" t="s">
        <v>1407</v>
      </c>
      <c r="O9" s="98" t="s">
        <v>1408</v>
      </c>
      <c r="P9" s="33" t="s">
        <v>1409</v>
      </c>
      <c r="Q9" s="33" t="s">
        <v>2018</v>
      </c>
      <c r="R9" s="33" t="s">
        <v>549</v>
      </c>
    </row>
    <row r="10" spans="2:18" ht="148.5" x14ac:dyDescent="0.2">
      <c r="B10" s="32" t="s">
        <v>550</v>
      </c>
      <c r="C10" s="33" t="s">
        <v>515</v>
      </c>
      <c r="D10" s="33" t="s">
        <v>551</v>
      </c>
      <c r="E10" s="33" t="s">
        <v>510</v>
      </c>
      <c r="F10" s="33" t="s">
        <v>552</v>
      </c>
      <c r="G10" s="33" t="s">
        <v>1410</v>
      </c>
      <c r="H10" s="33">
        <v>20000000</v>
      </c>
      <c r="I10" s="33">
        <v>500000000</v>
      </c>
      <c r="J10" s="33"/>
      <c r="K10" s="33" t="s">
        <v>203</v>
      </c>
      <c r="L10" s="33" t="s">
        <v>543</v>
      </c>
      <c r="M10" s="34" t="s">
        <v>534</v>
      </c>
      <c r="N10" s="34" t="s">
        <v>534</v>
      </c>
      <c r="O10" s="98" t="s">
        <v>1411</v>
      </c>
      <c r="P10" s="33" t="s">
        <v>1412</v>
      </c>
      <c r="Q10" s="138" t="s">
        <v>2019</v>
      </c>
      <c r="R10" s="33" t="s">
        <v>553</v>
      </c>
    </row>
    <row r="11" spans="2:18" ht="198" x14ac:dyDescent="0.2">
      <c r="B11" s="32" t="s">
        <v>554</v>
      </c>
      <c r="C11" s="33" t="s">
        <v>515</v>
      </c>
      <c r="D11" s="33" t="s">
        <v>555</v>
      </c>
      <c r="E11" s="33" t="s">
        <v>510</v>
      </c>
      <c r="F11" s="33" t="s">
        <v>1413</v>
      </c>
      <c r="G11" s="33" t="s">
        <v>1414</v>
      </c>
      <c r="H11" s="33"/>
      <c r="I11" s="33"/>
      <c r="J11" s="33"/>
      <c r="K11" s="33" t="s">
        <v>353</v>
      </c>
      <c r="L11" s="33" t="s">
        <v>543</v>
      </c>
      <c r="M11" s="33" t="s">
        <v>1415</v>
      </c>
      <c r="N11" s="98" t="s">
        <v>1416</v>
      </c>
      <c r="O11" s="33" t="s">
        <v>1417</v>
      </c>
      <c r="P11" s="33" t="s">
        <v>1418</v>
      </c>
      <c r="Q11" s="33" t="s">
        <v>556</v>
      </c>
      <c r="R11" s="34" t="s">
        <v>534</v>
      </c>
    </row>
    <row r="12" spans="2:18" ht="115.5" x14ac:dyDescent="0.2">
      <c r="B12" s="32" t="s">
        <v>557</v>
      </c>
      <c r="C12" s="33" t="s">
        <v>515</v>
      </c>
      <c r="D12" s="33" t="s">
        <v>558</v>
      </c>
      <c r="E12" s="33" t="s">
        <v>559</v>
      </c>
      <c r="F12" s="33" t="s">
        <v>560</v>
      </c>
      <c r="G12" s="33" t="s">
        <v>1419</v>
      </c>
      <c r="H12" s="33">
        <v>3000000</v>
      </c>
      <c r="I12" s="33">
        <v>15000000</v>
      </c>
      <c r="J12" s="33"/>
      <c r="K12" s="33" t="s">
        <v>2029</v>
      </c>
      <c r="L12" s="33" t="s">
        <v>561</v>
      </c>
      <c r="M12" s="33" t="s">
        <v>1420</v>
      </c>
      <c r="N12" s="98" t="s">
        <v>1421</v>
      </c>
      <c r="O12" s="33" t="s">
        <v>1422</v>
      </c>
      <c r="P12" s="33" t="s">
        <v>1423</v>
      </c>
      <c r="Q12" s="33" t="s">
        <v>2020</v>
      </c>
      <c r="R12" s="33" t="s">
        <v>562</v>
      </c>
    </row>
    <row r="13" spans="2:18" ht="99" x14ac:dyDescent="0.2">
      <c r="B13" s="102" t="s">
        <v>563</v>
      </c>
      <c r="C13" s="103" t="s">
        <v>515</v>
      </c>
      <c r="D13" s="103" t="s">
        <v>564</v>
      </c>
      <c r="E13" s="103" t="s">
        <v>510</v>
      </c>
      <c r="F13" s="103" t="s">
        <v>565</v>
      </c>
      <c r="G13" s="103" t="s">
        <v>1424</v>
      </c>
      <c r="H13" s="103">
        <v>250000000</v>
      </c>
      <c r="I13" s="103">
        <v>250000000</v>
      </c>
      <c r="J13" s="103"/>
      <c r="K13" s="103" t="s">
        <v>2028</v>
      </c>
      <c r="L13" s="103" t="s">
        <v>566</v>
      </c>
      <c r="M13" s="104" t="s">
        <v>534</v>
      </c>
      <c r="N13" s="104" t="s">
        <v>534</v>
      </c>
      <c r="O13" s="103" t="s">
        <v>1425</v>
      </c>
      <c r="P13" s="103" t="s">
        <v>1426</v>
      </c>
      <c r="Q13" s="103" t="s">
        <v>2021</v>
      </c>
      <c r="R13" s="103" t="s">
        <v>567</v>
      </c>
    </row>
    <row r="14" spans="2:18" ht="82.5" x14ac:dyDescent="0.2">
      <c r="B14" s="32" t="s">
        <v>568</v>
      </c>
      <c r="C14" s="33" t="s">
        <v>515</v>
      </c>
      <c r="D14" s="33" t="s">
        <v>569</v>
      </c>
      <c r="E14" s="33" t="s">
        <v>510</v>
      </c>
      <c r="F14" s="33" t="s">
        <v>1427</v>
      </c>
      <c r="G14" s="33" t="s">
        <v>1428</v>
      </c>
      <c r="H14" s="33">
        <v>15000000</v>
      </c>
      <c r="I14" s="33">
        <v>100000000</v>
      </c>
      <c r="J14" s="33"/>
      <c r="K14" s="33" t="s">
        <v>203</v>
      </c>
      <c r="L14" s="33" t="s">
        <v>203</v>
      </c>
      <c r="M14" s="34" t="s">
        <v>534</v>
      </c>
      <c r="N14" s="34" t="s">
        <v>534</v>
      </c>
      <c r="O14" s="33" t="s">
        <v>1429</v>
      </c>
      <c r="P14" s="33" t="s">
        <v>1430</v>
      </c>
      <c r="Q14" s="33" t="s">
        <v>2022</v>
      </c>
      <c r="R14" s="33" t="s">
        <v>570</v>
      </c>
    </row>
    <row r="15" spans="2:18" ht="49.5" x14ac:dyDescent="0.2">
      <c r="B15" s="32" t="s">
        <v>571</v>
      </c>
      <c r="C15" s="33" t="s">
        <v>536</v>
      </c>
      <c r="D15" s="33" t="s">
        <v>572</v>
      </c>
      <c r="E15" s="33" t="s">
        <v>510</v>
      </c>
      <c r="F15" s="33" t="s">
        <v>1431</v>
      </c>
      <c r="G15" s="33" t="s">
        <v>1431</v>
      </c>
      <c r="H15" s="33"/>
      <c r="I15" s="33"/>
      <c r="J15" s="33"/>
      <c r="K15" s="33" t="s">
        <v>2027</v>
      </c>
      <c r="L15" s="33" t="s">
        <v>573</v>
      </c>
      <c r="M15" s="34" t="s">
        <v>534</v>
      </c>
      <c r="N15" s="34" t="s">
        <v>534</v>
      </c>
      <c r="O15" s="33" t="s">
        <v>1432</v>
      </c>
      <c r="P15" s="33" t="s">
        <v>1433</v>
      </c>
      <c r="Q15" s="33" t="s">
        <v>2023</v>
      </c>
      <c r="R15" s="34" t="s">
        <v>534</v>
      </c>
    </row>
    <row r="16" spans="2:18" ht="99" x14ac:dyDescent="0.2">
      <c r="B16" s="102" t="s">
        <v>574</v>
      </c>
      <c r="C16" s="103" t="s">
        <v>515</v>
      </c>
      <c r="D16" s="103" t="s">
        <v>1434</v>
      </c>
      <c r="E16" s="103" t="s">
        <v>510</v>
      </c>
      <c r="F16" s="103" t="s">
        <v>1435</v>
      </c>
      <c r="G16" s="103" t="s">
        <v>575</v>
      </c>
      <c r="H16" s="103">
        <v>0</v>
      </c>
      <c r="I16" s="103">
        <v>3000000</v>
      </c>
      <c r="J16" s="103"/>
      <c r="K16" s="103" t="s">
        <v>2026</v>
      </c>
      <c r="L16" s="103" t="s">
        <v>1436</v>
      </c>
      <c r="M16" s="104" t="s">
        <v>534</v>
      </c>
      <c r="N16" s="104" t="s">
        <v>534</v>
      </c>
      <c r="O16" s="103" t="s">
        <v>1437</v>
      </c>
      <c r="P16" s="103" t="s">
        <v>1437</v>
      </c>
      <c r="Q16" s="104" t="s">
        <v>1438</v>
      </c>
      <c r="R16" s="104" t="s">
        <v>534</v>
      </c>
    </row>
  </sheetData>
  <conditionalFormatting sqref="B2">
    <cfRule type="duplicateValues" dxfId="1" priority="1"/>
  </conditionalFormatting>
  <conditionalFormatting sqref="B3 B5:B8 B10:B14">
    <cfRule type="expression" dxfId="0" priority="2" stopIfTrue="1">
      <formula>AND(COUNTIF($B$5:$B$8, B3)+COUNTIF($B$3:$B$3, B3)+COUNTIF($B$10:$B$14, B3)&gt;1,NOT(ISBLANK(B3)))</formula>
    </cfRule>
  </conditionalFormatting>
  <hyperlinks>
    <hyperlink ref="Q2" r:id="rId1" xr:uid="{C7926B61-78D3-421E-A361-ADA2D675399D}"/>
    <hyperlink ref="Q10" r:id="rId2" xr:uid="{435BEF1C-B6BE-4F8B-9E62-C8F0A5C56678}"/>
    <hyperlink ref="Q11" r:id="rId3" display="https://bluebay-capital.com/" xr:uid="{602B258E-8F41-440B-8E61-3FE7FBFEE7D0}"/>
    <hyperlink ref="O2" r:id="rId4" xr:uid="{D9D0EF5A-12A6-4815-BA8F-B9B07D361E38}"/>
    <hyperlink ref="O6" r:id="rId5" xr:uid="{64EB6DF5-3EAF-4C46-A7E6-6B91A65A431D}"/>
    <hyperlink ref="O7" r:id="rId6" xr:uid="{3630D881-05B7-4ECF-AE24-417CBFF0CE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EB0FF-94C5-4FD0-9211-01C19DBE15F8}">
  <sheetPr>
    <tabColor rgb="FF92D050"/>
  </sheetPr>
  <dimension ref="A1:K32"/>
  <sheetViews>
    <sheetView workbookViewId="0">
      <selection activeCell="F18" sqref="F18"/>
    </sheetView>
  </sheetViews>
  <sheetFormatPr defaultColWidth="9.28515625" defaultRowHeight="15" x14ac:dyDescent="0.25"/>
  <cols>
    <col min="1" max="1" width="30.7109375" style="106" customWidth="1"/>
    <col min="2" max="2" width="17.28515625" style="106" customWidth="1"/>
    <col min="3" max="3" width="28.7109375" style="106" customWidth="1"/>
    <col min="4" max="4" width="18.5703125" style="106" customWidth="1"/>
    <col min="5" max="5" width="20.28515625" style="106" customWidth="1"/>
    <col min="6" max="6" width="25.28515625" style="106" customWidth="1"/>
    <col min="7" max="7" width="30.42578125" style="106" customWidth="1"/>
    <col min="8" max="8" width="53.28515625" style="106" bestFit="1" customWidth="1"/>
    <col min="9" max="16384" width="9.28515625" style="106"/>
  </cols>
  <sheetData>
    <row r="1" spans="1:11" s="137" customFormat="1" ht="15" customHeight="1" x14ac:dyDescent="0.25">
      <c r="A1" s="136" t="s">
        <v>1930</v>
      </c>
      <c r="B1" s="136" t="s">
        <v>506</v>
      </c>
      <c r="C1" s="136" t="s">
        <v>1931</v>
      </c>
      <c r="D1" s="136" t="s">
        <v>1932</v>
      </c>
      <c r="E1" s="140" t="s">
        <v>1933</v>
      </c>
      <c r="F1" s="140" t="s">
        <v>1934</v>
      </c>
      <c r="G1" s="136" t="s">
        <v>10</v>
      </c>
      <c r="H1" s="136" t="s">
        <v>1935</v>
      </c>
      <c r="I1" s="136" t="s">
        <v>1915</v>
      </c>
      <c r="J1" s="136" t="s">
        <v>1916</v>
      </c>
      <c r="K1" s="136" t="s">
        <v>1936</v>
      </c>
    </row>
    <row r="2" spans="1:11" ht="22.9" customHeight="1" x14ac:dyDescent="0.25">
      <c r="A2" t="s">
        <v>576</v>
      </c>
      <c r="B2" t="s">
        <v>1937</v>
      </c>
      <c r="C2" t="s">
        <v>1938</v>
      </c>
      <c r="D2" t="s">
        <v>204</v>
      </c>
      <c r="E2" t="s">
        <v>1939</v>
      </c>
      <c r="F2" t="s">
        <v>1940</v>
      </c>
      <c r="G2" t="s">
        <v>577</v>
      </c>
      <c r="H2" t="s">
        <v>1941</v>
      </c>
      <c r="I2"/>
      <c r="J2"/>
      <c r="K2" t="s">
        <v>1942</v>
      </c>
    </row>
    <row r="3" spans="1:11" ht="15" customHeight="1" x14ac:dyDescent="0.25">
      <c r="A3" t="s">
        <v>578</v>
      </c>
      <c r="B3" t="s">
        <v>1937</v>
      </c>
      <c r="C3" t="s">
        <v>1943</v>
      </c>
      <c r="D3" t="s">
        <v>204</v>
      </c>
      <c r="E3" t="s">
        <v>579</v>
      </c>
      <c r="F3" t="s">
        <v>580</v>
      </c>
      <c r="G3" t="s">
        <v>581</v>
      </c>
      <c r="H3" t="s">
        <v>1944</v>
      </c>
      <c r="I3"/>
      <c r="J3"/>
      <c r="K3"/>
    </row>
    <row r="4" spans="1:11" ht="15" customHeight="1" x14ac:dyDescent="0.25">
      <c r="A4" t="s">
        <v>582</v>
      </c>
      <c r="B4" t="s">
        <v>1937</v>
      </c>
      <c r="C4" t="s">
        <v>1945</v>
      </c>
      <c r="D4" t="s">
        <v>204</v>
      </c>
      <c r="E4" t="s">
        <v>583</v>
      </c>
      <c r="F4" t="s">
        <v>584</v>
      </c>
      <c r="G4" t="s">
        <v>585</v>
      </c>
      <c r="H4" t="s">
        <v>1946</v>
      </c>
      <c r="I4" t="s">
        <v>1947</v>
      </c>
      <c r="J4" t="s">
        <v>1948</v>
      </c>
      <c r="K4" t="s">
        <v>1949</v>
      </c>
    </row>
    <row r="5" spans="1:11" ht="15" customHeight="1" x14ac:dyDescent="0.25">
      <c r="A5" t="s">
        <v>586</v>
      </c>
      <c r="B5" t="s">
        <v>1937</v>
      </c>
      <c r="C5" t="s">
        <v>1950</v>
      </c>
      <c r="D5" t="s">
        <v>204</v>
      </c>
      <c r="E5" t="s">
        <v>1939</v>
      </c>
      <c r="F5" t="s">
        <v>587</v>
      </c>
      <c r="G5" t="s">
        <v>588</v>
      </c>
      <c r="H5" t="s">
        <v>1951</v>
      </c>
      <c r="I5"/>
      <c r="J5"/>
      <c r="K5"/>
    </row>
    <row r="6" spans="1:11" ht="15" customHeight="1" x14ac:dyDescent="0.25">
      <c r="A6" t="s">
        <v>589</v>
      </c>
      <c r="B6" t="s">
        <v>1937</v>
      </c>
      <c r="C6" t="s">
        <v>1952</v>
      </c>
      <c r="D6" t="s">
        <v>204</v>
      </c>
      <c r="E6" t="s">
        <v>590</v>
      </c>
      <c r="F6" t="s">
        <v>1953</v>
      </c>
      <c r="G6" t="s">
        <v>1954</v>
      </c>
      <c r="H6" t="s">
        <v>1955</v>
      </c>
      <c r="I6"/>
      <c r="J6"/>
      <c r="K6" t="s">
        <v>1956</v>
      </c>
    </row>
    <row r="7" spans="1:11" ht="15" customHeight="1" x14ac:dyDescent="0.25">
      <c r="A7" t="s">
        <v>591</v>
      </c>
      <c r="B7" t="s">
        <v>592</v>
      </c>
      <c r="C7" t="s">
        <v>1957</v>
      </c>
      <c r="D7" t="s">
        <v>204</v>
      </c>
      <c r="E7" t="s">
        <v>1939</v>
      </c>
      <c r="F7" t="s">
        <v>593</v>
      </c>
      <c r="G7" t="s">
        <v>594</v>
      </c>
      <c r="H7" t="s">
        <v>1958</v>
      </c>
      <c r="I7"/>
      <c r="J7"/>
      <c r="K7" t="s">
        <v>1942</v>
      </c>
    </row>
    <row r="8" spans="1:11" ht="15" customHeight="1" x14ac:dyDescent="0.25">
      <c r="A8" t="s">
        <v>595</v>
      </c>
      <c r="B8" t="s">
        <v>1959</v>
      </c>
      <c r="C8" t="s">
        <v>1960</v>
      </c>
      <c r="D8" t="s">
        <v>204</v>
      </c>
      <c r="E8" t="s">
        <v>583</v>
      </c>
      <c r="F8" t="s">
        <v>596</v>
      </c>
      <c r="G8" t="s">
        <v>597</v>
      </c>
      <c r="H8" t="s">
        <v>1961</v>
      </c>
      <c r="I8"/>
      <c r="J8"/>
      <c r="K8" t="s">
        <v>1942</v>
      </c>
    </row>
    <row r="9" spans="1:11" ht="15" customHeight="1" x14ac:dyDescent="0.25">
      <c r="A9" t="s">
        <v>598</v>
      </c>
      <c r="B9" t="s">
        <v>1959</v>
      </c>
      <c r="C9" t="s">
        <v>1962</v>
      </c>
      <c r="D9" t="s">
        <v>204</v>
      </c>
      <c r="E9" t="s">
        <v>599</v>
      </c>
      <c r="F9" t="s">
        <v>1963</v>
      </c>
      <c r="G9" t="s">
        <v>600</v>
      </c>
      <c r="H9" t="s">
        <v>1964</v>
      </c>
      <c r="I9"/>
      <c r="J9"/>
      <c r="K9" t="s">
        <v>1942</v>
      </c>
    </row>
    <row r="10" spans="1:11" ht="15" customHeight="1" x14ac:dyDescent="0.25">
      <c r="A10" t="s">
        <v>601</v>
      </c>
      <c r="B10" t="s">
        <v>592</v>
      </c>
      <c r="C10" t="s">
        <v>1965</v>
      </c>
      <c r="D10" t="s">
        <v>204</v>
      </c>
      <c r="E10" t="s">
        <v>602</v>
      </c>
      <c r="F10" t="s">
        <v>603</v>
      </c>
      <c r="G10" t="s">
        <v>604</v>
      </c>
      <c r="H10" t="s">
        <v>1966</v>
      </c>
      <c r="I10" t="s">
        <v>1967</v>
      </c>
      <c r="J10" t="s">
        <v>1968</v>
      </c>
      <c r="K10" t="s">
        <v>1949</v>
      </c>
    </row>
    <row r="11" spans="1:11" ht="15" customHeight="1" x14ac:dyDescent="0.25">
      <c r="A11" t="s">
        <v>605</v>
      </c>
      <c r="B11" t="s">
        <v>592</v>
      </c>
      <c r="C11" t="s">
        <v>1969</v>
      </c>
      <c r="D11" t="s">
        <v>204</v>
      </c>
      <c r="E11" t="s">
        <v>1939</v>
      </c>
      <c r="F11" t="s">
        <v>606</v>
      </c>
      <c r="G11" t="s">
        <v>607</v>
      </c>
      <c r="H11" t="s">
        <v>1970</v>
      </c>
      <c r="I11"/>
      <c r="J11"/>
      <c r="K11" t="s">
        <v>1942</v>
      </c>
    </row>
    <row r="12" spans="1:11" ht="15" customHeight="1" x14ac:dyDescent="0.25">
      <c r="A12" t="s">
        <v>608</v>
      </c>
      <c r="B12" t="s">
        <v>1937</v>
      </c>
      <c r="C12" t="s">
        <v>1971</v>
      </c>
      <c r="D12" t="s">
        <v>213</v>
      </c>
      <c r="E12" t="s">
        <v>1939</v>
      </c>
      <c r="F12" t="s">
        <v>609</v>
      </c>
      <c r="G12" t="s">
        <v>610</v>
      </c>
      <c r="H12" t="s">
        <v>1972</v>
      </c>
      <c r="I12" t="s">
        <v>1967</v>
      </c>
      <c r="J12" t="s">
        <v>1967</v>
      </c>
      <c r="K12"/>
    </row>
    <row r="13" spans="1:11" ht="15" customHeight="1" x14ac:dyDescent="0.25">
      <c r="A13" t="s">
        <v>611</v>
      </c>
      <c r="B13" t="s">
        <v>592</v>
      </c>
      <c r="C13" t="s">
        <v>1973</v>
      </c>
      <c r="D13" t="s">
        <v>213</v>
      </c>
      <c r="E13" t="s">
        <v>1939</v>
      </c>
      <c r="F13" t="s">
        <v>1963</v>
      </c>
      <c r="G13" t="s">
        <v>612</v>
      </c>
      <c r="H13" t="s">
        <v>1974</v>
      </c>
      <c r="I13"/>
      <c r="J13"/>
      <c r="K13"/>
    </row>
    <row r="14" spans="1:11" ht="15" customHeight="1" x14ac:dyDescent="0.25">
      <c r="A14" t="s">
        <v>613</v>
      </c>
      <c r="B14" t="s">
        <v>592</v>
      </c>
      <c r="C14" t="s">
        <v>1975</v>
      </c>
      <c r="D14" t="s">
        <v>213</v>
      </c>
      <c r="E14" t="s">
        <v>1939</v>
      </c>
      <c r="F14" t="s">
        <v>614</v>
      </c>
      <c r="G14" t="s">
        <v>615</v>
      </c>
      <c r="H14" t="s">
        <v>1976</v>
      </c>
      <c r="I14"/>
      <c r="J14"/>
      <c r="K14"/>
    </row>
    <row r="15" spans="1:11" ht="15" customHeight="1" x14ac:dyDescent="0.25">
      <c r="A15" t="s">
        <v>616</v>
      </c>
      <c r="B15" t="s">
        <v>592</v>
      </c>
      <c r="C15" t="s">
        <v>1977</v>
      </c>
      <c r="D15" t="s">
        <v>213</v>
      </c>
      <c r="E15" t="s">
        <v>617</v>
      </c>
      <c r="F15" t="s">
        <v>618</v>
      </c>
      <c r="G15" t="s">
        <v>619</v>
      </c>
      <c r="H15" t="s">
        <v>1978</v>
      </c>
      <c r="I15"/>
      <c r="J15"/>
      <c r="K15"/>
    </row>
    <row r="16" spans="1:11" ht="15" customHeight="1" x14ac:dyDescent="0.25">
      <c r="A16" t="s">
        <v>620</v>
      </c>
      <c r="B16" t="s">
        <v>1979</v>
      </c>
      <c r="C16" t="s">
        <v>1980</v>
      </c>
      <c r="D16" t="s">
        <v>213</v>
      </c>
      <c r="E16" t="s">
        <v>621</v>
      </c>
      <c r="F16" t="s">
        <v>622</v>
      </c>
      <c r="G16" t="s">
        <v>623</v>
      </c>
      <c r="H16" t="s">
        <v>1981</v>
      </c>
      <c r="I16"/>
      <c r="J16"/>
      <c r="K16"/>
    </row>
    <row r="17" spans="1:11" ht="15" customHeight="1" x14ac:dyDescent="0.25">
      <c r="A17" t="s">
        <v>1982</v>
      </c>
      <c r="B17" t="s">
        <v>1937</v>
      </c>
      <c r="C17" t="s">
        <v>624</v>
      </c>
      <c r="D17" t="s">
        <v>1983</v>
      </c>
      <c r="E17" t="s">
        <v>1939</v>
      </c>
      <c r="F17" t="s">
        <v>1963</v>
      </c>
      <c r="G17" t="s">
        <v>625</v>
      </c>
      <c r="H17" t="s">
        <v>1984</v>
      </c>
      <c r="I17"/>
      <c r="J17"/>
      <c r="K17"/>
    </row>
    <row r="18" spans="1:11" ht="15" customHeight="1" x14ac:dyDescent="0.25">
      <c r="A18" t="s">
        <v>626</v>
      </c>
      <c r="B18" t="s">
        <v>1937</v>
      </c>
      <c r="C18" t="s">
        <v>1985</v>
      </c>
      <c r="D18" t="s">
        <v>627</v>
      </c>
      <c r="E18" t="s">
        <v>1939</v>
      </c>
      <c r="F18" t="s">
        <v>1963</v>
      </c>
      <c r="G18" t="s">
        <v>628</v>
      </c>
      <c r="H18" t="s">
        <v>1986</v>
      </c>
      <c r="I18"/>
      <c r="J18"/>
      <c r="K18"/>
    </row>
    <row r="19" spans="1:11" ht="15" customHeight="1" x14ac:dyDescent="0.25">
      <c r="A19" t="s">
        <v>629</v>
      </c>
      <c r="B19" t="s">
        <v>1937</v>
      </c>
      <c r="C19" t="s">
        <v>630</v>
      </c>
      <c r="D19" t="s">
        <v>627</v>
      </c>
      <c r="E19" t="s">
        <v>1939</v>
      </c>
      <c r="F19" t="s">
        <v>1963</v>
      </c>
      <c r="G19" t="s">
        <v>631</v>
      </c>
      <c r="H19" t="s">
        <v>1987</v>
      </c>
      <c r="I19"/>
      <c r="J19"/>
      <c r="K19"/>
    </row>
    <row r="20" spans="1:11" ht="15" customHeight="1" x14ac:dyDescent="0.25">
      <c r="A20" t="s">
        <v>632</v>
      </c>
      <c r="B20" t="s">
        <v>592</v>
      </c>
      <c r="C20" t="s">
        <v>1988</v>
      </c>
      <c r="D20" t="s">
        <v>627</v>
      </c>
      <c r="E20" t="s">
        <v>1939</v>
      </c>
      <c r="F20" t="s">
        <v>1963</v>
      </c>
      <c r="G20" t="s">
        <v>633</v>
      </c>
      <c r="H20" t="s">
        <v>1989</v>
      </c>
      <c r="I20" t="s">
        <v>1990</v>
      </c>
      <c r="J20" t="s">
        <v>1991</v>
      </c>
      <c r="K20" t="s">
        <v>1992</v>
      </c>
    </row>
    <row r="21" spans="1:11" ht="15" customHeight="1" x14ac:dyDescent="0.25">
      <c r="A21" t="s">
        <v>634</v>
      </c>
      <c r="B21" t="s">
        <v>1979</v>
      </c>
      <c r="C21" t="s">
        <v>1962</v>
      </c>
      <c r="D21" t="s">
        <v>627</v>
      </c>
      <c r="E21" t="s">
        <v>1939</v>
      </c>
      <c r="F21" t="s">
        <v>1963</v>
      </c>
      <c r="G21" t="s">
        <v>635</v>
      </c>
      <c r="H21" t="s">
        <v>1993</v>
      </c>
      <c r="I21" t="s">
        <v>1990</v>
      </c>
      <c r="J21" t="s">
        <v>1991</v>
      </c>
      <c r="K21" t="s">
        <v>1994</v>
      </c>
    </row>
    <row r="22" spans="1:11" ht="15" customHeight="1" x14ac:dyDescent="0.25">
      <c r="A22" t="s">
        <v>636</v>
      </c>
      <c r="B22" t="s">
        <v>592</v>
      </c>
      <c r="C22" t="s">
        <v>637</v>
      </c>
      <c r="D22" t="s">
        <v>185</v>
      </c>
      <c r="E22" t="s">
        <v>1939</v>
      </c>
      <c r="F22" t="s">
        <v>1963</v>
      </c>
      <c r="G22" t="s">
        <v>638</v>
      </c>
      <c r="H22" t="s">
        <v>1995</v>
      </c>
      <c r="I22"/>
      <c r="J22"/>
      <c r="K22"/>
    </row>
    <row r="23" spans="1:11" ht="15" customHeight="1" x14ac:dyDescent="0.25">
      <c r="A23" t="s">
        <v>639</v>
      </c>
      <c r="B23" t="s">
        <v>592</v>
      </c>
      <c r="C23" t="s">
        <v>1996</v>
      </c>
      <c r="D23" t="s">
        <v>185</v>
      </c>
      <c r="E23" t="s">
        <v>1939</v>
      </c>
      <c r="F23" t="s">
        <v>1963</v>
      </c>
      <c r="G23" t="s">
        <v>640</v>
      </c>
      <c r="H23" t="s">
        <v>1997</v>
      </c>
      <c r="I23"/>
      <c r="J23"/>
      <c r="K23"/>
    </row>
    <row r="24" spans="1:11" ht="15" customHeight="1" x14ac:dyDescent="0.25">
      <c r="A24" t="s">
        <v>641</v>
      </c>
      <c r="B24" t="s">
        <v>592</v>
      </c>
      <c r="C24" t="s">
        <v>1988</v>
      </c>
      <c r="D24" t="s">
        <v>642</v>
      </c>
      <c r="E24" t="s">
        <v>1939</v>
      </c>
      <c r="F24" t="s">
        <v>1963</v>
      </c>
      <c r="G24" t="s">
        <v>477</v>
      </c>
      <c r="H24" t="s">
        <v>1998</v>
      </c>
      <c r="I24"/>
      <c r="J24"/>
      <c r="K24"/>
    </row>
    <row r="25" spans="1:11" ht="15" customHeight="1" x14ac:dyDescent="0.25">
      <c r="A25" t="s">
        <v>643</v>
      </c>
      <c r="B25" t="s">
        <v>1959</v>
      </c>
      <c r="C25" t="s">
        <v>1999</v>
      </c>
      <c r="D25" t="s">
        <v>239</v>
      </c>
      <c r="E25" t="s">
        <v>1939</v>
      </c>
      <c r="F25" t="s">
        <v>1963</v>
      </c>
      <c r="G25" t="s">
        <v>477</v>
      </c>
      <c r="H25" t="s">
        <v>2000</v>
      </c>
      <c r="I25" t="s">
        <v>2001</v>
      </c>
      <c r="J25" t="s">
        <v>1947</v>
      </c>
      <c r="K25" t="s">
        <v>1994</v>
      </c>
    </row>
    <row r="26" spans="1:11" ht="15" customHeight="1" x14ac:dyDescent="0.25">
      <c r="A26" t="s">
        <v>644</v>
      </c>
      <c r="B26" t="s">
        <v>1937</v>
      </c>
      <c r="C26" t="s">
        <v>2002</v>
      </c>
      <c r="D26" t="s">
        <v>645</v>
      </c>
      <c r="E26" t="s">
        <v>1939</v>
      </c>
      <c r="F26" t="s">
        <v>1963</v>
      </c>
      <c r="G26" t="s">
        <v>646</v>
      </c>
      <c r="H26" t="s">
        <v>2003</v>
      </c>
      <c r="I26"/>
      <c r="J26"/>
      <c r="K26"/>
    </row>
    <row r="27" spans="1:11" ht="15" customHeight="1" x14ac:dyDescent="0.25">
      <c r="A27" t="s">
        <v>647</v>
      </c>
      <c r="B27" t="s">
        <v>592</v>
      </c>
      <c r="C27" t="s">
        <v>2004</v>
      </c>
      <c r="D27" t="s">
        <v>645</v>
      </c>
      <c r="E27" t="s">
        <v>1939</v>
      </c>
      <c r="F27" t="s">
        <v>1963</v>
      </c>
      <c r="G27" t="s">
        <v>648</v>
      </c>
      <c r="H27" t="s">
        <v>2005</v>
      </c>
      <c r="I27"/>
      <c r="J27"/>
      <c r="K27"/>
    </row>
    <row r="28" spans="1:11" ht="15" customHeight="1" x14ac:dyDescent="0.25">
      <c r="A28" t="s">
        <v>649</v>
      </c>
      <c r="B28" t="s">
        <v>592</v>
      </c>
      <c r="C28" t="s">
        <v>2006</v>
      </c>
      <c r="D28" t="s">
        <v>645</v>
      </c>
      <c r="E28" t="s">
        <v>1939</v>
      </c>
      <c r="F28" t="s">
        <v>1963</v>
      </c>
      <c r="G28" t="s">
        <v>650</v>
      </c>
      <c r="H28" t="s">
        <v>2007</v>
      </c>
      <c r="I28"/>
      <c r="J28"/>
      <c r="K28"/>
    </row>
    <row r="29" spans="1:11" ht="15" customHeight="1" x14ac:dyDescent="0.25">
      <c r="A29" s="109"/>
      <c r="B29" s="110"/>
      <c r="C29" s="110"/>
      <c r="D29" s="110"/>
      <c r="E29" s="110"/>
      <c r="F29" s="110"/>
      <c r="G29" s="110"/>
      <c r="H29" s="110"/>
    </row>
    <row r="30" spans="1:11" ht="15" customHeight="1" x14ac:dyDescent="0.25">
      <c r="A30" s="107"/>
      <c r="B30" s="108"/>
      <c r="C30" s="108"/>
      <c r="D30" s="108"/>
      <c r="E30" s="108"/>
      <c r="F30" s="108"/>
      <c r="G30" s="80"/>
      <c r="H30" s="108"/>
    </row>
    <row r="31" spans="1:11" ht="15" customHeight="1" x14ac:dyDescent="0.25">
      <c r="A31" s="107"/>
      <c r="B31" s="108"/>
      <c r="C31" s="108"/>
      <c r="D31" s="108"/>
      <c r="E31" s="108"/>
      <c r="F31" s="108"/>
      <c r="G31" s="108"/>
      <c r="H31" s="108"/>
    </row>
    <row r="32" spans="1:11" ht="15" customHeight="1" x14ac:dyDescent="0.25">
      <c r="A32" s="107"/>
      <c r="B32" s="108"/>
      <c r="C32" s="108"/>
      <c r="D32" s="108"/>
      <c r="E32" s="108"/>
      <c r="F32" s="108"/>
      <c r="G32" s="108"/>
      <c r="H32" s="10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Contactos</vt:lpstr>
      <vt:lpstr>Inversores Particulares</vt:lpstr>
      <vt:lpstr>Private Equity España</vt:lpstr>
      <vt:lpstr>Family Office</vt:lpstr>
      <vt:lpstr>Tecnológicos-</vt:lpstr>
      <vt:lpstr>Deuda </vt:lpstr>
      <vt:lpstr>Pre-Seed, Seed </vt:lpstr>
      <vt:lpstr>'Family Office'!Print_Area</vt:lpstr>
      <vt:lpstr>'Inversores Particulares'!Print_Area</vt:lpstr>
      <vt:lpstr>'Private Equity España'!Print_Area</vt:lpstr>
      <vt:lpstr>'Family Office'!Print_Titles</vt:lpstr>
      <vt:lpstr>'Inversores Particulares'!Print_Titles</vt:lpstr>
      <vt:lpstr>'Private Equity España'!Print_Titles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Javier Carmona</dc:creator>
  <cp:keywords/>
  <dc:description/>
  <cp:lastModifiedBy>David Dominguez Becerril</cp:lastModifiedBy>
  <cp:revision/>
  <dcterms:created xsi:type="dcterms:W3CDTF">2026-01-29T16:51:13Z</dcterms:created>
  <dcterms:modified xsi:type="dcterms:W3CDTF">2026-02-16T08:02:07Z</dcterms:modified>
  <cp:category/>
  <cp:contentStatus/>
</cp:coreProperties>
</file>